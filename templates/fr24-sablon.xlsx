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C:\Users\User\Desktop\FR24 Proses Yeterlilikleri\"/>
    </mc:Choice>
  </mc:AlternateContent>
  <xr:revisionPtr revIDLastSave="0" documentId="13_ncr:1_{3F0822C8-7D8C-44F3-A6C8-5179234AFDDF}" xr6:coauthVersionLast="36" xr6:coauthVersionMax="36" xr10:uidLastSave="{00000000-0000-0000-0000-000000000000}"/>
  <bookViews>
    <workbookView xWindow="0" yWindow="0" windowWidth="23040" windowHeight="8952" xr2:uid="{00000000-000D-0000-FFFF-FFFF00000000}"/>
  </bookViews>
  <sheets>
    <sheet name="Yeterlilik" sheetId="1" r:id="rId1"/>
    <sheet name="veri" sheetId="2" state="hidden" r:id="rId2"/>
  </sheets>
  <definedNames>
    <definedName name="_xlnm.Print_Area" localSheetId="0">Yeterlilik!$A$1:$BM$60</definedName>
  </definedNames>
  <calcPr calcId="191029" fullCalcOnLoad="1"/>
</workbook>
</file>

<file path=xl/calcChain.xml><?xml version="1.0" encoding="utf-8"?>
<calcChain xmlns="http://schemas.openxmlformats.org/spreadsheetml/2006/main">
  <c r="B126" i="2" l="1"/>
  <c r="A126" i="2" s="1"/>
  <c r="B125" i="2"/>
  <c r="A125" i="2"/>
  <c r="B124" i="2"/>
  <c r="A124" i="2"/>
  <c r="B123" i="2"/>
  <c r="A123" i="2"/>
  <c r="B122" i="2"/>
  <c r="A122" i="2" s="1"/>
  <c r="B121" i="2"/>
  <c r="A121" i="2" s="1"/>
  <c r="B120" i="2"/>
  <c r="A120" i="2" s="1"/>
  <c r="B119" i="2"/>
  <c r="B118" i="2"/>
  <c r="AM118" i="2" s="1"/>
  <c r="A118" i="2"/>
  <c r="B117" i="2"/>
  <c r="A117" i="2" s="1"/>
  <c r="B116" i="2"/>
  <c r="AM116" i="2" s="1"/>
  <c r="A116" i="2"/>
  <c r="B115" i="2"/>
  <c r="B114" i="2"/>
  <c r="A114" i="2"/>
  <c r="B113" i="2"/>
  <c r="A113" i="2" s="1"/>
  <c r="B112" i="2"/>
  <c r="B111" i="2"/>
  <c r="B110" i="2"/>
  <c r="B109" i="2"/>
  <c r="A109" i="2" s="1"/>
  <c r="B108" i="2"/>
  <c r="B107" i="2"/>
  <c r="B106" i="2"/>
  <c r="AM106" i="2" s="1"/>
  <c r="B105" i="2"/>
  <c r="A105" i="2" s="1"/>
  <c r="B104" i="2"/>
  <c r="A104" i="2"/>
  <c r="B103" i="2"/>
  <c r="B102" i="2"/>
  <c r="AM102" i="2" s="1"/>
  <c r="A102" i="2"/>
  <c r="B101" i="2"/>
  <c r="A101" i="2" s="1"/>
  <c r="B100" i="2"/>
  <c r="A100" i="2"/>
  <c r="B99" i="2"/>
  <c r="B98" i="2"/>
  <c r="A98" i="2"/>
  <c r="B97" i="2"/>
  <c r="A97" i="2" s="1"/>
  <c r="B96" i="2"/>
  <c r="AM96" i="2" s="1"/>
  <c r="B95" i="2"/>
  <c r="B94" i="2"/>
  <c r="AM94" i="2" s="1"/>
  <c r="B93" i="2"/>
  <c r="A93" i="2" s="1"/>
  <c r="B92" i="2"/>
  <c r="A92" i="2" s="1"/>
  <c r="B91" i="2"/>
  <c r="A91" i="2"/>
  <c r="B90" i="2"/>
  <c r="A90" i="2" s="1"/>
  <c r="B89" i="2"/>
  <c r="A89" i="2" s="1"/>
  <c r="B88" i="2"/>
  <c r="B87" i="2"/>
  <c r="B86" i="2"/>
  <c r="A86" i="2"/>
  <c r="B85" i="2"/>
  <c r="A85" i="2" s="1"/>
  <c r="B84" i="2"/>
  <c r="B83" i="2"/>
  <c r="A83" i="2"/>
  <c r="B82" i="2"/>
  <c r="AM82" i="2" s="1"/>
  <c r="B81" i="2"/>
  <c r="A81" i="2" s="1"/>
  <c r="B80" i="2"/>
  <c r="AM80" i="2" s="1"/>
  <c r="A80" i="2"/>
  <c r="B79" i="2"/>
  <c r="B78" i="2"/>
  <c r="AM78" i="2" s="1"/>
  <c r="A78" i="2"/>
  <c r="B77" i="2"/>
  <c r="A77" i="2" s="1"/>
  <c r="B76" i="2"/>
  <c r="B75" i="2"/>
  <c r="B74" i="2"/>
  <c r="A74" i="2"/>
  <c r="B73" i="2"/>
  <c r="A73" i="2" s="1"/>
  <c r="B72" i="2"/>
  <c r="A72" i="2"/>
  <c r="B71" i="2"/>
  <c r="AM71" i="2" s="1"/>
  <c r="B70" i="2"/>
  <c r="AM70" i="2" s="1"/>
  <c r="A70" i="2"/>
  <c r="B69" i="2"/>
  <c r="A69" i="2" s="1"/>
  <c r="B68" i="2"/>
  <c r="AM68" i="2" s="1"/>
  <c r="A68" i="2"/>
  <c r="B67" i="2"/>
  <c r="A67" i="2" s="1"/>
  <c r="B66" i="2"/>
  <c r="A66" i="2" s="1"/>
  <c r="B65" i="2"/>
  <c r="A65" i="2" s="1"/>
  <c r="B64" i="2"/>
  <c r="A64" i="2"/>
  <c r="B63" i="2"/>
  <c r="B62" i="2"/>
  <c r="A62" i="2"/>
  <c r="B61" i="2"/>
  <c r="A61" i="2" s="1"/>
  <c r="B60" i="2"/>
  <c r="A60" i="2"/>
  <c r="B59" i="2"/>
  <c r="AM59" i="2" s="1"/>
  <c r="B58" i="2"/>
  <c r="A58" i="2" s="1"/>
  <c r="B57" i="2"/>
  <c r="A57" i="2" s="1"/>
  <c r="B56" i="2"/>
  <c r="A56" i="2" s="1"/>
  <c r="B55" i="2"/>
  <c r="AM55" i="2" s="1"/>
  <c r="A55" i="2"/>
  <c r="B54" i="2"/>
  <c r="AM54" i="2" s="1"/>
  <c r="A54" i="2"/>
  <c r="B53" i="2"/>
  <c r="A53" i="2" s="1"/>
  <c r="B52" i="2"/>
  <c r="A52" i="2"/>
  <c r="B51" i="2"/>
  <c r="B50" i="2"/>
  <c r="A50" i="2" s="1"/>
  <c r="B49" i="2"/>
  <c r="A49" i="2" s="1"/>
  <c r="B48" i="2"/>
  <c r="A48" i="2" s="1"/>
  <c r="L47" i="2"/>
  <c r="K47" i="2"/>
  <c r="AS47" i="2" s="1"/>
  <c r="B47" i="2"/>
  <c r="AM47" i="2" s="1"/>
  <c r="L46" i="2"/>
  <c r="K46" i="2"/>
  <c r="B46" i="2"/>
  <c r="A46" i="2" s="1"/>
  <c r="L45" i="2"/>
  <c r="K45" i="2"/>
  <c r="B45" i="2"/>
  <c r="A45" i="2"/>
  <c r="L44" i="2"/>
  <c r="K44" i="2"/>
  <c r="B44" i="2"/>
  <c r="A44" i="2"/>
  <c r="L43" i="2"/>
  <c r="K43" i="2"/>
  <c r="B43" i="2"/>
  <c r="A43" i="2"/>
  <c r="L42" i="2"/>
  <c r="K42" i="2"/>
  <c r="AS42" i="2" s="1"/>
  <c r="B42" i="2"/>
  <c r="A42" i="2" s="1"/>
  <c r="AS41" i="2"/>
  <c r="L41" i="2"/>
  <c r="K41" i="2"/>
  <c r="B41" i="2"/>
  <c r="L40" i="2"/>
  <c r="K40" i="2"/>
  <c r="B40" i="2"/>
  <c r="A40" i="2"/>
  <c r="L39" i="2"/>
  <c r="K39" i="2"/>
  <c r="B39" i="2"/>
  <c r="A39" i="2"/>
  <c r="AM38" i="2"/>
  <c r="L38" i="2"/>
  <c r="K38" i="2"/>
  <c r="B38" i="2"/>
  <c r="A38" i="2"/>
  <c r="L37" i="2"/>
  <c r="K37" i="2"/>
  <c r="B37" i="2"/>
  <c r="A37" i="2"/>
  <c r="L36" i="2"/>
  <c r="K36" i="2"/>
  <c r="B36" i="2"/>
  <c r="L35" i="2"/>
  <c r="K35" i="2"/>
  <c r="AS35" i="2" s="1"/>
  <c r="B35" i="2"/>
  <c r="AM35" i="2" s="1"/>
  <c r="L34" i="2"/>
  <c r="K34" i="2"/>
  <c r="AS34" i="2" s="1"/>
  <c r="B34" i="2"/>
  <c r="L33" i="2"/>
  <c r="B33" i="2"/>
  <c r="AM33" i="2" s="1"/>
  <c r="A33" i="2"/>
  <c r="B32" i="2"/>
  <c r="B31" i="2"/>
  <c r="A31" i="2"/>
  <c r="B30" i="2"/>
  <c r="A30" i="2"/>
  <c r="B29" i="2"/>
  <c r="A29" i="2" s="1"/>
  <c r="B28" i="2"/>
  <c r="B27" i="2"/>
  <c r="A27" i="2" s="1"/>
  <c r="B26" i="2"/>
  <c r="AM26" i="2" s="1"/>
  <c r="A26" i="2"/>
  <c r="B25" i="2"/>
  <c r="AM25" i="2" s="1"/>
  <c r="A25" i="2"/>
  <c r="B24" i="2"/>
  <c r="AM24" i="2" s="1"/>
  <c r="A24" i="2"/>
  <c r="B23" i="2"/>
  <c r="AM23" i="2" s="1"/>
  <c r="A23" i="2"/>
  <c r="B22" i="2"/>
  <c r="A22" i="2" s="1"/>
  <c r="B21" i="2"/>
  <c r="A21" i="2" s="1"/>
  <c r="B20" i="2"/>
  <c r="B19" i="2"/>
  <c r="A19" i="2"/>
  <c r="B18" i="2"/>
  <c r="A18" i="2" s="1"/>
  <c r="B17" i="2"/>
  <c r="A17" i="2"/>
  <c r="B16" i="2"/>
  <c r="AM16" i="2" s="1"/>
  <c r="A16" i="2"/>
  <c r="B15" i="2"/>
  <c r="A15" i="2"/>
  <c r="B14" i="2"/>
  <c r="B13" i="2"/>
  <c r="AM13" i="2" s="1"/>
  <c r="A13" i="2"/>
  <c r="B12" i="2"/>
  <c r="A12" i="2"/>
  <c r="B11" i="2"/>
  <c r="B10" i="2"/>
  <c r="A10" i="2"/>
  <c r="B9" i="2"/>
  <c r="A9" i="2"/>
  <c r="B8" i="2"/>
  <c r="AM8" i="2" s="1"/>
  <c r="A8" i="2"/>
  <c r="B7" i="2"/>
  <c r="AM7" i="2" s="1"/>
  <c r="A7" i="2"/>
  <c r="AM6" i="2"/>
  <c r="B6" i="2"/>
  <c r="A6" i="2" s="1"/>
  <c r="B5" i="2"/>
  <c r="AM5" i="2" s="1"/>
  <c r="A5" i="2"/>
  <c r="B4" i="2"/>
  <c r="A4" i="2" s="1"/>
  <c r="AB3" i="2"/>
  <c r="T3" i="2"/>
  <c r="S3" i="2"/>
  <c r="R3" i="2"/>
  <c r="F3" i="2"/>
  <c r="E3" i="2"/>
  <c r="AN3" i="2" s="1"/>
  <c r="D3" i="2"/>
  <c r="B3" i="2"/>
  <c r="AM3" i="2" s="1"/>
  <c r="A3" i="2"/>
  <c r="AB2" i="2"/>
  <c r="T2" i="2"/>
  <c r="AW2" i="2" s="1"/>
  <c r="S2" i="2"/>
  <c r="AV2" i="2" s="1"/>
  <c r="R2" i="2"/>
  <c r="Q2" i="2"/>
  <c r="L2" i="2"/>
  <c r="F2" i="2"/>
  <c r="E2" i="2"/>
  <c r="D2" i="2"/>
  <c r="B2" i="2"/>
  <c r="A2" i="2" s="1"/>
  <c r="AM1" i="2"/>
  <c r="AM10" i="2" s="1"/>
  <c r="N24" i="1"/>
  <c r="N30" i="1" s="1"/>
  <c r="N21" i="1"/>
  <c r="AM108" i="2" l="1"/>
  <c r="AO3" i="2"/>
  <c r="AM28" i="2"/>
  <c r="AM9" i="2"/>
  <c r="AM43" i="2"/>
  <c r="AM110" i="2"/>
  <c r="AM40" i="2"/>
  <c r="AW3" i="2"/>
  <c r="AS36" i="2"/>
  <c r="AM51" i="2"/>
  <c r="AM62" i="2"/>
  <c r="AM74" i="2"/>
  <c r="AM11" i="2"/>
  <c r="AM37" i="2"/>
  <c r="AS40" i="2"/>
  <c r="AM75" i="2"/>
  <c r="AM100" i="2"/>
  <c r="AV3" i="2"/>
  <c r="AM32" i="2"/>
  <c r="AM41" i="2"/>
  <c r="AM64" i="2"/>
  <c r="AM76" i="2"/>
  <c r="AM114" i="2"/>
  <c r="AM17" i="2"/>
  <c r="AM60" i="2"/>
  <c r="AU3" i="2"/>
  <c r="AM72" i="2"/>
  <c r="AM84" i="2"/>
  <c r="AM98" i="2"/>
  <c r="AM123" i="2"/>
  <c r="AN2" i="2"/>
  <c r="AM44" i="2"/>
  <c r="AM112" i="2"/>
  <c r="AO2" i="2"/>
  <c r="AM86" i="2"/>
  <c r="AM124" i="2"/>
  <c r="AM31" i="2"/>
  <c r="AU2" i="2"/>
  <c r="AM12" i="2"/>
  <c r="AM45" i="2"/>
  <c r="A110" i="2"/>
  <c r="A106" i="2"/>
  <c r="AM126" i="2"/>
  <c r="AM77" i="2"/>
  <c r="AM89" i="2"/>
  <c r="AM66" i="2"/>
  <c r="AM69" i="2"/>
  <c r="AM81" i="2"/>
  <c r="AM65" i="2"/>
  <c r="AM73" i="2"/>
  <c r="AM93" i="2"/>
  <c r="AM56" i="2"/>
  <c r="AM53" i="2"/>
  <c r="A75" i="2"/>
  <c r="A96" i="2"/>
  <c r="N25" i="1"/>
  <c r="V2" i="2" s="1"/>
  <c r="AY2" i="2" s="1"/>
  <c r="N26" i="1"/>
  <c r="N27" i="1"/>
  <c r="A35" i="2"/>
  <c r="N28" i="1"/>
  <c r="N29" i="1"/>
  <c r="AM4" i="2"/>
  <c r="AM29" i="2"/>
  <c r="AM21" i="2"/>
  <c r="X48" i="2"/>
  <c r="AM58" i="2"/>
  <c r="X61" i="2"/>
  <c r="A84" i="2"/>
  <c r="X87" i="2"/>
  <c r="AM90" i="2"/>
  <c r="A94" i="2"/>
  <c r="A20" i="2"/>
  <c r="AM20" i="2"/>
  <c r="X35" i="2"/>
  <c r="X45" i="2"/>
  <c r="X77" i="2"/>
  <c r="X20" i="2"/>
  <c r="AM48" i="2"/>
  <c r="A115" i="2"/>
  <c r="AM115" i="2"/>
  <c r="AM2" i="2"/>
  <c r="X67" i="2"/>
  <c r="X9" i="2"/>
  <c r="A11" i="2"/>
  <c r="X16" i="2"/>
  <c r="X33" i="2"/>
  <c r="X39" i="2"/>
  <c r="X52" i="2"/>
  <c r="A59" i="2"/>
  <c r="A71" i="2"/>
  <c r="X81" i="2"/>
  <c r="A88" i="2"/>
  <c r="AM88" i="2"/>
  <c r="X119" i="2"/>
  <c r="X6" i="2"/>
  <c r="AM18" i="2"/>
  <c r="X55" i="2"/>
  <c r="X84" i="2"/>
  <c r="A99" i="2"/>
  <c r="AM99" i="2"/>
  <c r="A112" i="2"/>
  <c r="X83" i="2"/>
  <c r="X71" i="2"/>
  <c r="X103" i="2"/>
  <c r="X107" i="2"/>
  <c r="X29" i="2"/>
  <c r="X46" i="2"/>
  <c r="X49" i="2"/>
  <c r="X59" i="2"/>
  <c r="X88" i="2"/>
  <c r="A14" i="2"/>
  <c r="AM14" i="2"/>
  <c r="A32" i="2"/>
  <c r="A34" i="2"/>
  <c r="AM34" i="2"/>
  <c r="A108" i="2"/>
  <c r="N49" i="1"/>
  <c r="X5" i="2"/>
  <c r="X21" i="2"/>
  <c r="X36" i="2"/>
  <c r="A47" i="2"/>
  <c r="X53" i="2"/>
  <c r="A82" i="2"/>
  <c r="X92" i="2"/>
  <c r="X121" i="2"/>
  <c r="X91" i="2"/>
  <c r="X3" i="2"/>
  <c r="AM63" i="2"/>
  <c r="A63" i="2"/>
  <c r="X117" i="2"/>
  <c r="X17" i="2"/>
  <c r="AM42" i="2"/>
  <c r="A76" i="2"/>
  <c r="X7" i="2"/>
  <c r="X57" i="2"/>
  <c r="X63" i="2"/>
  <c r="X79" i="2"/>
  <c r="X101" i="2"/>
  <c r="X105" i="2"/>
  <c r="AM87" i="2"/>
  <c r="A87" i="2"/>
  <c r="X65" i="2"/>
  <c r="X25" i="2"/>
  <c r="AD1" i="2"/>
  <c r="AM50" i="2"/>
  <c r="X60" i="2"/>
  <c r="AM79" i="2"/>
  <c r="A79" i="2"/>
  <c r="AE1" i="2"/>
  <c r="X15" i="2"/>
  <c r="A28" i="2"/>
  <c r="A51" i="2"/>
  <c r="X73" i="2"/>
  <c r="X14" i="2"/>
  <c r="X19" i="2"/>
  <c r="X28" i="2"/>
  <c r="AS37" i="2"/>
  <c r="A41" i="2"/>
  <c r="X47" i="2"/>
  <c r="X51" i="2"/>
  <c r="AM61" i="2"/>
  <c r="X80" i="2"/>
  <c r="AM92" i="2"/>
  <c r="X99" i="2"/>
  <c r="X115" i="2"/>
  <c r="AM122" i="2"/>
  <c r="X13" i="2"/>
  <c r="X34" i="2"/>
  <c r="X38" i="2"/>
  <c r="AM39" i="2"/>
  <c r="AM57" i="2"/>
  <c r="X76" i="2"/>
  <c r="X97" i="2"/>
  <c r="X113" i="2"/>
  <c r="X31" i="2"/>
  <c r="X12" i="2"/>
  <c r="X23" i="2"/>
  <c r="AM30" i="2"/>
  <c r="A36" i="2"/>
  <c r="AM36" i="2"/>
  <c r="AS39" i="2"/>
  <c r="X72" i="2"/>
  <c r="A95" i="2"/>
  <c r="AM95" i="2"/>
  <c r="A111" i="2"/>
  <c r="AM111" i="2"/>
  <c r="X125" i="2"/>
  <c r="AM121" i="2"/>
  <c r="AM117" i="2"/>
  <c r="AM113" i="2"/>
  <c r="AM109" i="2"/>
  <c r="AM105" i="2"/>
  <c r="AM101" i="2"/>
  <c r="AM97" i="2"/>
  <c r="AM125" i="2"/>
  <c r="X18" i="2"/>
  <c r="AM46" i="2"/>
  <c r="AM49" i="2"/>
  <c r="X68" i="2"/>
  <c r="X11" i="2"/>
  <c r="X10" i="2"/>
  <c r="AM19" i="2"/>
  <c r="X37" i="2"/>
  <c r="AS44" i="2"/>
  <c r="AS46" i="2"/>
  <c r="X64" i="2"/>
  <c r="AM91" i="2"/>
  <c r="X93" i="2"/>
  <c r="X95" i="2"/>
  <c r="X111" i="2"/>
  <c r="X89" i="2"/>
  <c r="AM104" i="2"/>
  <c r="X109" i="2"/>
  <c r="AM120" i="2"/>
  <c r="X123" i="2"/>
  <c r="X2" i="2"/>
  <c r="X8" i="2"/>
  <c r="X22" i="2"/>
  <c r="AM27" i="2"/>
  <c r="X30" i="2"/>
  <c r="AS38" i="2"/>
  <c r="X56" i="2"/>
  <c r="AM83" i="2"/>
  <c r="X85" i="2"/>
  <c r="A107" i="2"/>
  <c r="AM107" i="2"/>
  <c r="X120" i="2"/>
  <c r="X116" i="2"/>
  <c r="X112" i="2"/>
  <c r="X108" i="2"/>
  <c r="X104" i="2"/>
  <c r="X100" i="2"/>
  <c r="X96" i="2"/>
  <c r="X126" i="2"/>
  <c r="X40" i="2"/>
  <c r="X24" i="2"/>
  <c r="X41" i="2"/>
  <c r="X124" i="2"/>
  <c r="X118" i="2"/>
  <c r="X114" i="2"/>
  <c r="X110" i="2"/>
  <c r="X106" i="2"/>
  <c r="X102" i="2"/>
  <c r="X98" i="2"/>
  <c r="X94" i="2"/>
  <c r="X90" i="2"/>
  <c r="X86" i="2"/>
  <c r="X82" i="2"/>
  <c r="X78" i="2"/>
  <c r="X74" i="2"/>
  <c r="X70" i="2"/>
  <c r="X66" i="2"/>
  <c r="X62" i="2"/>
  <c r="X58" i="2"/>
  <c r="X54" i="2"/>
  <c r="X50" i="2"/>
  <c r="X42" i="2"/>
  <c r="X26" i="2"/>
  <c r="X43" i="2"/>
  <c r="X27" i="2"/>
  <c r="X122" i="2"/>
  <c r="X44" i="2"/>
  <c r="X32" i="2"/>
  <c r="X4" i="2"/>
  <c r="AM15" i="2"/>
  <c r="AM22" i="2"/>
  <c r="AS43" i="2"/>
  <c r="AS45" i="2"/>
  <c r="AM52" i="2"/>
  <c r="AM67" i="2"/>
  <c r="X69" i="2"/>
  <c r="X75" i="2"/>
  <c r="AM85" i="2"/>
  <c r="A103" i="2"/>
  <c r="AM103" i="2"/>
  <c r="A119" i="2"/>
  <c r="AM119" i="2"/>
  <c r="H2" i="2" l="1"/>
  <c r="AQ2" i="2" s="1"/>
  <c r="V3" i="2"/>
  <c r="AY3" i="2" s="1"/>
  <c r="N47" i="1"/>
  <c r="I2" i="2"/>
  <c r="AR2" i="2" s="1"/>
  <c r="U3" i="2"/>
  <c r="AX3" i="2" s="1"/>
  <c r="N46" i="1"/>
  <c r="H3" i="2"/>
  <c r="AQ3" i="2" s="1"/>
  <c r="I3" i="2"/>
  <c r="AR3" i="2" s="1"/>
  <c r="U2" i="2"/>
  <c r="AX2" i="2" s="1"/>
  <c r="AF1" i="2"/>
  <c r="K4" i="2" s="1"/>
  <c r="AS4" i="2" s="1"/>
  <c r="AA3" i="2"/>
  <c r="BA3" i="2" s="1"/>
  <c r="G3" i="2"/>
  <c r="AP3" i="2" s="1"/>
  <c r="AA2" i="2"/>
  <c r="BA2" i="2" s="1"/>
  <c r="G2" i="2"/>
  <c r="AP2" i="2" s="1"/>
  <c r="AH74" i="2"/>
  <c r="Y74" i="2"/>
  <c r="BB74" i="2" s="1"/>
  <c r="AZ74" i="2"/>
  <c r="AZ126" i="2"/>
  <c r="Y126" i="2"/>
  <c r="BB126" i="2" s="1"/>
  <c r="AH126" i="2"/>
  <c r="AZ22" i="2"/>
  <c r="AH22" i="2"/>
  <c r="Y22" i="2"/>
  <c r="BB22" i="2" s="1"/>
  <c r="AZ97" i="2"/>
  <c r="AH97" i="2"/>
  <c r="Y97" i="2"/>
  <c r="BB97" i="2" s="1"/>
  <c r="AZ63" i="2"/>
  <c r="AH63" i="2"/>
  <c r="Y63" i="2"/>
  <c r="BB63" i="2" s="1"/>
  <c r="AZ87" i="2"/>
  <c r="AH87" i="2"/>
  <c r="AI87" i="2" s="1"/>
  <c r="Y87" i="2"/>
  <c r="BB87" i="2" s="1"/>
  <c r="AH10" i="2"/>
  <c r="Y10" i="2"/>
  <c r="BB10" i="2" s="1"/>
  <c r="AZ10" i="2"/>
  <c r="AH28" i="2"/>
  <c r="Y28" i="2"/>
  <c r="BB28" i="2" s="1"/>
  <c r="AZ28" i="2"/>
  <c r="AZ57" i="2"/>
  <c r="Y57" i="2"/>
  <c r="BB57" i="2" s="1"/>
  <c r="AH57" i="2"/>
  <c r="AH36" i="2"/>
  <c r="AI92" i="2" s="1"/>
  <c r="Y36" i="2"/>
  <c r="BB36" i="2" s="1"/>
  <c r="AZ36" i="2"/>
  <c r="AZ52" i="2"/>
  <c r="AH52" i="2"/>
  <c r="AI52" i="2"/>
  <c r="Y52" i="2"/>
  <c r="BB52" i="2" s="1"/>
  <c r="AZ39" i="2"/>
  <c r="AH39" i="2"/>
  <c r="Y39" i="2"/>
  <c r="BB39" i="2" s="1"/>
  <c r="AZ33" i="2"/>
  <c r="Y33" i="2"/>
  <c r="BB33" i="2" s="1"/>
  <c r="AH33" i="2"/>
  <c r="AZ108" i="2"/>
  <c r="AH108" i="2"/>
  <c r="Y108" i="2"/>
  <c r="BB108" i="2" s="1"/>
  <c r="AH38" i="2"/>
  <c r="Y38" i="2"/>
  <c r="BB38" i="2" s="1"/>
  <c r="AZ38" i="2"/>
  <c r="Y5" i="2"/>
  <c r="BB5" i="2" s="1"/>
  <c r="AH5" i="2"/>
  <c r="AZ5" i="2"/>
  <c r="AZ16" i="2"/>
  <c r="AH16" i="2"/>
  <c r="Y16" i="2"/>
  <c r="BB16" i="2" s="1"/>
  <c r="AZ61" i="2"/>
  <c r="AH61" i="2"/>
  <c r="Y61" i="2"/>
  <c r="BB61" i="2" s="1"/>
  <c r="AZ76" i="2"/>
  <c r="AH76" i="2"/>
  <c r="Y76" i="2"/>
  <c r="BB76" i="2" s="1"/>
  <c r="AZ60" i="2"/>
  <c r="AH60" i="2"/>
  <c r="AI60" i="2" s="1"/>
  <c r="Y60" i="2"/>
  <c r="BB60" i="2" s="1"/>
  <c r="AZ32" i="2"/>
  <c r="AH32" i="2"/>
  <c r="Y32" i="2"/>
  <c r="BB32" i="2" s="1"/>
  <c r="AZ117" i="2"/>
  <c r="AH117" i="2"/>
  <c r="Y117" i="2"/>
  <c r="BB117" i="2" s="1"/>
  <c r="AH90" i="2"/>
  <c r="Y90" i="2"/>
  <c r="BB90" i="2" s="1"/>
  <c r="AZ90" i="2"/>
  <c r="AH122" i="2"/>
  <c r="Y122" i="2"/>
  <c r="BB122" i="2" s="1"/>
  <c r="AZ122" i="2"/>
  <c r="AH94" i="2"/>
  <c r="AI34" i="2" s="1"/>
  <c r="Y94" i="2"/>
  <c r="BB94" i="2" s="1"/>
  <c r="AZ94" i="2"/>
  <c r="AI94" i="2"/>
  <c r="AZ112" i="2"/>
  <c r="AH112" i="2"/>
  <c r="AI16" i="2" s="1"/>
  <c r="Y112" i="2"/>
  <c r="BB112" i="2" s="1"/>
  <c r="AZ109" i="2"/>
  <c r="Y109" i="2"/>
  <c r="BB109" i="2" s="1"/>
  <c r="AH109" i="2"/>
  <c r="AZ68" i="2"/>
  <c r="AH68" i="2"/>
  <c r="Y68" i="2"/>
  <c r="BB68" i="2" s="1"/>
  <c r="AZ34" i="2"/>
  <c r="AH34" i="2"/>
  <c r="Y34" i="2"/>
  <c r="BB34" i="2" s="1"/>
  <c r="AZ73" i="2"/>
  <c r="Y73" i="2"/>
  <c r="BB73" i="2" s="1"/>
  <c r="AH73" i="2"/>
  <c r="N121" i="2"/>
  <c r="AT121" i="2" s="1"/>
  <c r="N117" i="2"/>
  <c r="N113" i="2"/>
  <c r="AT113" i="2" s="1"/>
  <c r="N109" i="2"/>
  <c r="N105" i="2"/>
  <c r="AT105" i="2" s="1"/>
  <c r="N101" i="2"/>
  <c r="N97" i="2"/>
  <c r="AT97" i="2" s="1"/>
  <c r="N93" i="2"/>
  <c r="AT93" i="2" s="1"/>
  <c r="N89" i="2"/>
  <c r="AT89" i="2" s="1"/>
  <c r="N85" i="2"/>
  <c r="AT85" i="2" s="1"/>
  <c r="N81" i="2"/>
  <c r="AT81" i="2" s="1"/>
  <c r="N77" i="2"/>
  <c r="N73" i="2"/>
  <c r="AT73" i="2" s="1"/>
  <c r="N69" i="2"/>
  <c r="AT69" i="2" s="1"/>
  <c r="N65" i="2"/>
  <c r="AT65" i="2" s="1"/>
  <c r="N61" i="2"/>
  <c r="AT61" i="2" s="1"/>
  <c r="N57" i="2"/>
  <c r="AT57" i="2" s="1"/>
  <c r="N53" i="2"/>
  <c r="AT53" i="2" s="1"/>
  <c r="N49" i="2"/>
  <c r="AT49" i="2" s="1"/>
  <c r="N38" i="2"/>
  <c r="AT38" i="2" s="1"/>
  <c r="N22" i="2"/>
  <c r="AT22" i="2" s="1"/>
  <c r="N39" i="2"/>
  <c r="AT39" i="2" s="1"/>
  <c r="N40" i="2"/>
  <c r="AT40" i="2" s="1"/>
  <c r="N24" i="2"/>
  <c r="N41" i="2"/>
  <c r="AT41" i="2" s="1"/>
  <c r="N25" i="2"/>
  <c r="AT25" i="2" s="1"/>
  <c r="N118" i="2"/>
  <c r="AT118" i="2" s="1"/>
  <c r="N114" i="2"/>
  <c r="AT114" i="2" s="1"/>
  <c r="N110" i="2"/>
  <c r="AT110" i="2" s="1"/>
  <c r="N106" i="2"/>
  <c r="AT106" i="2" s="1"/>
  <c r="N102" i="2"/>
  <c r="AT102" i="2" s="1"/>
  <c r="N98" i="2"/>
  <c r="AT98" i="2" s="1"/>
  <c r="N94" i="2"/>
  <c r="AT94" i="2" s="1"/>
  <c r="N90" i="2"/>
  <c r="N86" i="2"/>
  <c r="N82" i="2"/>
  <c r="AT82" i="2" s="1"/>
  <c r="N78" i="2"/>
  <c r="AT78" i="2" s="1"/>
  <c r="N74" i="2"/>
  <c r="AT74" i="2" s="1"/>
  <c r="N70" i="2"/>
  <c r="AT70" i="2" s="1"/>
  <c r="N66" i="2"/>
  <c r="AT66" i="2" s="1"/>
  <c r="N62" i="2"/>
  <c r="AT62" i="2" s="1"/>
  <c r="N58" i="2"/>
  <c r="AT58" i="2" s="1"/>
  <c r="N54" i="2"/>
  <c r="AT54" i="2" s="1"/>
  <c r="N50" i="2"/>
  <c r="AT50" i="2" s="1"/>
  <c r="N42" i="2"/>
  <c r="AT42" i="2" s="1"/>
  <c r="N119" i="2"/>
  <c r="AT119" i="2" s="1"/>
  <c r="N115" i="2"/>
  <c r="AT115" i="2" s="1"/>
  <c r="N111" i="2"/>
  <c r="AT111" i="2" s="1"/>
  <c r="N107" i="2"/>
  <c r="N103" i="2"/>
  <c r="N99" i="2"/>
  <c r="AT99" i="2" s="1"/>
  <c r="N95" i="2"/>
  <c r="AT95" i="2" s="1"/>
  <c r="N91" i="2"/>
  <c r="N87" i="2"/>
  <c r="AT87" i="2" s="1"/>
  <c r="N83" i="2"/>
  <c r="AT83" i="2" s="1"/>
  <c r="N79" i="2"/>
  <c r="N75" i="2"/>
  <c r="AT75" i="2" s="1"/>
  <c r="N71" i="2"/>
  <c r="AT71" i="2" s="1"/>
  <c r="N67" i="2"/>
  <c r="N63" i="2"/>
  <c r="AT63" i="2" s="1"/>
  <c r="N59" i="2"/>
  <c r="AT59" i="2" s="1"/>
  <c r="N55" i="2"/>
  <c r="N51" i="2"/>
  <c r="N46" i="2"/>
  <c r="AT46" i="2" s="1"/>
  <c r="N30" i="2"/>
  <c r="AT30" i="2" s="1"/>
  <c r="N35" i="2"/>
  <c r="AT35" i="2" s="1"/>
  <c r="N20" i="2"/>
  <c r="AT20" i="2" s="1"/>
  <c r="N48" i="2"/>
  <c r="AT48" i="2" s="1"/>
  <c r="N6" i="2"/>
  <c r="AT6" i="2" s="1"/>
  <c r="N3" i="2"/>
  <c r="AT3" i="2" s="1"/>
  <c r="N116" i="2"/>
  <c r="AT116" i="2" s="1"/>
  <c r="N100" i="2"/>
  <c r="AT100" i="2" s="1"/>
  <c r="N56" i="2"/>
  <c r="AT56" i="2" s="1"/>
  <c r="N8" i="2"/>
  <c r="N60" i="2"/>
  <c r="AT60" i="2" s="1"/>
  <c r="N27" i="2"/>
  <c r="AT27" i="2" s="1"/>
  <c r="N9" i="2"/>
  <c r="AT9" i="2" s="1"/>
  <c r="N64" i="2"/>
  <c r="AT64" i="2" s="1"/>
  <c r="N44" i="2"/>
  <c r="AT44" i="2" s="1"/>
  <c r="N37" i="2"/>
  <c r="AT37" i="2" s="1"/>
  <c r="N10" i="2"/>
  <c r="AT10" i="2" s="1"/>
  <c r="L9" i="2"/>
  <c r="N23" i="2"/>
  <c r="AT23" i="2" s="1"/>
  <c r="N120" i="2"/>
  <c r="AT120" i="2" s="1"/>
  <c r="N104" i="2"/>
  <c r="AT104" i="2" s="1"/>
  <c r="N68" i="2"/>
  <c r="N18" i="2"/>
  <c r="N11" i="2"/>
  <c r="AT11" i="2" s="1"/>
  <c r="N72" i="2"/>
  <c r="AT72" i="2" s="1"/>
  <c r="N31" i="2"/>
  <c r="AT31" i="2" s="1"/>
  <c r="N76" i="2"/>
  <c r="AT76" i="2" s="1"/>
  <c r="N47" i="2"/>
  <c r="AT47" i="2" s="1"/>
  <c r="N4" i="2"/>
  <c r="AT4" i="2" s="1"/>
  <c r="N34" i="2"/>
  <c r="AT34" i="2" s="1"/>
  <c r="N17" i="2"/>
  <c r="AT17" i="2" s="1"/>
  <c r="N96" i="2"/>
  <c r="N45" i="2"/>
  <c r="AT45" i="2" s="1"/>
  <c r="N19" i="2"/>
  <c r="N15" i="2"/>
  <c r="N32" i="2"/>
  <c r="N36" i="2"/>
  <c r="AT36" i="2" s="1"/>
  <c r="N108" i="2"/>
  <c r="AT108" i="2" s="1"/>
  <c r="N13" i="2"/>
  <c r="AT13" i="2" s="1"/>
  <c r="N92" i="2"/>
  <c r="AT92" i="2" s="1"/>
  <c r="N21" i="2"/>
  <c r="AT21" i="2" s="1"/>
  <c r="N5" i="2"/>
  <c r="AT5" i="2" s="1"/>
  <c r="N29" i="2"/>
  <c r="AT29" i="2" s="1"/>
  <c r="N112" i="2"/>
  <c r="N2" i="2"/>
  <c r="N88" i="2"/>
  <c r="AT88" i="2" s="1"/>
  <c r="N52" i="2"/>
  <c r="AT52" i="2" s="1"/>
  <c r="N16" i="2"/>
  <c r="AT16" i="2" s="1"/>
  <c r="N14" i="2"/>
  <c r="AT14" i="2" s="1"/>
  <c r="N84" i="2"/>
  <c r="AT84" i="2" s="1"/>
  <c r="N33" i="2"/>
  <c r="AT33" i="2" s="1"/>
  <c r="N7" i="2"/>
  <c r="AT7" i="2" s="1"/>
  <c r="N80" i="2"/>
  <c r="AT80" i="2" s="1"/>
  <c r="N43" i="2"/>
  <c r="AT43" i="2" s="1"/>
  <c r="N28" i="2"/>
  <c r="AT28" i="2" s="1"/>
  <c r="N26" i="2"/>
  <c r="AT26" i="2" s="1"/>
  <c r="N12" i="2"/>
  <c r="AT12" i="2" s="1"/>
  <c r="AZ59" i="2"/>
  <c r="AH59" i="2"/>
  <c r="Y59" i="2"/>
  <c r="BB59" i="2" s="1"/>
  <c r="AZ84" i="2"/>
  <c r="AH84" i="2"/>
  <c r="Y84" i="2"/>
  <c r="BB84" i="2" s="1"/>
  <c r="AH8" i="2"/>
  <c r="Y8" i="2"/>
  <c r="BB8" i="2" s="1"/>
  <c r="AZ8" i="2"/>
  <c r="AZ17" i="2"/>
  <c r="AH17" i="2"/>
  <c r="Y17" i="2"/>
  <c r="BB17" i="2" s="1"/>
  <c r="Y123" i="2"/>
  <c r="BB123" i="2" s="1"/>
  <c r="AH123" i="2"/>
  <c r="AZ123" i="2"/>
  <c r="AZ20" i="2"/>
  <c r="AH20" i="2"/>
  <c r="Y20" i="2"/>
  <c r="BB20" i="2" s="1"/>
  <c r="AZ116" i="2"/>
  <c r="AH116" i="2"/>
  <c r="Y116" i="2"/>
  <c r="BB116" i="2" s="1"/>
  <c r="AZ72" i="2"/>
  <c r="AH72" i="2"/>
  <c r="AI72" i="2" s="1"/>
  <c r="Y72" i="2"/>
  <c r="BB72" i="2" s="1"/>
  <c r="AH13" i="2"/>
  <c r="AI13" i="2" s="1"/>
  <c r="Y13" i="2"/>
  <c r="BB13" i="2" s="1"/>
  <c r="AZ13" i="2"/>
  <c r="AH3" i="2"/>
  <c r="Y3" i="2"/>
  <c r="BB3" i="2" s="1"/>
  <c r="AZ3" i="2"/>
  <c r="AZ55" i="2"/>
  <c r="AH55" i="2"/>
  <c r="Y55" i="2"/>
  <c r="BB55" i="2" s="1"/>
  <c r="AZ77" i="2"/>
  <c r="AH77" i="2"/>
  <c r="Y77" i="2"/>
  <c r="BB77" i="2" s="1"/>
  <c r="AZ48" i="2"/>
  <c r="AH48" i="2"/>
  <c r="Y48" i="2"/>
  <c r="BB48" i="2" s="1"/>
  <c r="Y4" i="2"/>
  <c r="BB4" i="2" s="1"/>
  <c r="AH4" i="2"/>
  <c r="AZ4" i="2"/>
  <c r="Y21" i="2"/>
  <c r="BB21" i="2" s="1"/>
  <c r="AZ21" i="2"/>
  <c r="AH21" i="2"/>
  <c r="AZ11" i="2"/>
  <c r="Y11" i="2"/>
  <c r="BB11" i="2" s="1"/>
  <c r="AH11" i="2"/>
  <c r="AH44" i="2"/>
  <c r="AI44" i="2" s="1"/>
  <c r="Y44" i="2"/>
  <c r="BB44" i="2" s="1"/>
  <c r="AZ44" i="2"/>
  <c r="AH43" i="2"/>
  <c r="Y43" i="2"/>
  <c r="BB43" i="2" s="1"/>
  <c r="AZ43" i="2"/>
  <c r="AH102" i="2"/>
  <c r="Y102" i="2"/>
  <c r="BB102" i="2" s="1"/>
  <c r="AZ102" i="2"/>
  <c r="AZ120" i="2"/>
  <c r="AH120" i="2"/>
  <c r="Y120" i="2"/>
  <c r="BB120" i="2" s="1"/>
  <c r="AZ89" i="2"/>
  <c r="Y89" i="2"/>
  <c r="BB89" i="2" s="1"/>
  <c r="AH89" i="2"/>
  <c r="AI89" i="2" s="1"/>
  <c r="AZ91" i="2"/>
  <c r="AH91" i="2"/>
  <c r="Y91" i="2"/>
  <c r="BB91" i="2" s="1"/>
  <c r="AZ49" i="2"/>
  <c r="AH49" i="2"/>
  <c r="Y49" i="2"/>
  <c r="BB49" i="2" s="1"/>
  <c r="Y9" i="2"/>
  <c r="BB9" i="2" s="1"/>
  <c r="AZ9" i="2"/>
  <c r="AH9" i="2"/>
  <c r="AH45" i="2"/>
  <c r="Y45" i="2"/>
  <c r="BB45" i="2" s="1"/>
  <c r="AZ45" i="2"/>
  <c r="AZ125" i="2"/>
  <c r="Y125" i="2"/>
  <c r="BB125" i="2" s="1"/>
  <c r="AH125" i="2"/>
  <c r="AH2" i="2"/>
  <c r="Y2" i="2"/>
  <c r="BB2" i="2" s="1"/>
  <c r="AZ2" i="2"/>
  <c r="AH86" i="2"/>
  <c r="Y86" i="2"/>
  <c r="BB86" i="2" s="1"/>
  <c r="AZ86" i="2"/>
  <c r="AZ88" i="2"/>
  <c r="AH88" i="2"/>
  <c r="Y88" i="2"/>
  <c r="BB88" i="2" s="1"/>
  <c r="AH98" i="2"/>
  <c r="Y98" i="2"/>
  <c r="BB98" i="2" s="1"/>
  <c r="AZ98" i="2"/>
  <c r="AH106" i="2"/>
  <c r="AI106" i="2" s="1"/>
  <c r="Y106" i="2"/>
  <c r="BB106" i="2" s="1"/>
  <c r="AZ106" i="2"/>
  <c r="AZ111" i="2"/>
  <c r="AH111" i="2"/>
  <c r="Y111" i="2"/>
  <c r="BB111" i="2" s="1"/>
  <c r="AZ18" i="2"/>
  <c r="Y18" i="2"/>
  <c r="BB18" i="2" s="1"/>
  <c r="AH18" i="2"/>
  <c r="AZ115" i="2"/>
  <c r="AH115" i="2"/>
  <c r="Y115" i="2"/>
  <c r="BB115" i="2" s="1"/>
  <c r="Y25" i="2"/>
  <c r="BB25" i="2" s="1"/>
  <c r="AZ25" i="2"/>
  <c r="AH25" i="2"/>
  <c r="AH46" i="2"/>
  <c r="AZ46" i="2"/>
  <c r="Y46" i="2"/>
  <c r="BB46" i="2" s="1"/>
  <c r="AH6" i="2"/>
  <c r="AI6" i="2" s="1"/>
  <c r="AZ6" i="2"/>
  <c r="Y6" i="2"/>
  <c r="BB6" i="2" s="1"/>
  <c r="AZ35" i="2"/>
  <c r="AH35" i="2"/>
  <c r="Y35" i="2"/>
  <c r="BB35" i="2" s="1"/>
  <c r="AH78" i="2"/>
  <c r="Y78" i="2"/>
  <c r="BB78" i="2" s="1"/>
  <c r="AZ78" i="2"/>
  <c r="AH19" i="2"/>
  <c r="Y19" i="2"/>
  <c r="BB19" i="2" s="1"/>
  <c r="AZ19" i="2"/>
  <c r="AZ104" i="2"/>
  <c r="AH104" i="2"/>
  <c r="Y104" i="2"/>
  <c r="BB104" i="2" s="1"/>
  <c r="AH14" i="2"/>
  <c r="Y14" i="2"/>
  <c r="BB14" i="2" s="1"/>
  <c r="AZ14" i="2"/>
  <c r="Y27" i="2"/>
  <c r="BB27" i="2" s="1"/>
  <c r="AZ27" i="2"/>
  <c r="AH27" i="2"/>
  <c r="AH26" i="2"/>
  <c r="AZ26" i="2"/>
  <c r="Y26" i="2"/>
  <c r="BB26" i="2" s="1"/>
  <c r="AH42" i="2"/>
  <c r="Y42" i="2"/>
  <c r="BB42" i="2" s="1"/>
  <c r="AZ42" i="2"/>
  <c r="AH110" i="2"/>
  <c r="Y110" i="2"/>
  <c r="BB110" i="2" s="1"/>
  <c r="AZ110" i="2"/>
  <c r="AZ95" i="2"/>
  <c r="AH95" i="2"/>
  <c r="AI95" i="2" s="1"/>
  <c r="Y95" i="2"/>
  <c r="BB95" i="2" s="1"/>
  <c r="AZ99" i="2"/>
  <c r="AH99" i="2"/>
  <c r="Y99" i="2"/>
  <c r="BB99" i="2" s="1"/>
  <c r="AZ15" i="2"/>
  <c r="AH15" i="2"/>
  <c r="Y15" i="2"/>
  <c r="BB15" i="2" s="1"/>
  <c r="AZ65" i="2"/>
  <c r="AH65" i="2"/>
  <c r="Y65" i="2"/>
  <c r="BB65" i="2" s="1"/>
  <c r="AZ7" i="2"/>
  <c r="AH7" i="2"/>
  <c r="AI121" i="2" s="1"/>
  <c r="Y7" i="2"/>
  <c r="BB7" i="2" s="1"/>
  <c r="AH29" i="2"/>
  <c r="AZ29" i="2"/>
  <c r="Y29" i="2"/>
  <c r="BB29" i="2" s="1"/>
  <c r="AZ119" i="2"/>
  <c r="AH119" i="2"/>
  <c r="Y119" i="2"/>
  <c r="BB119" i="2" s="1"/>
  <c r="AH82" i="2"/>
  <c r="Y82" i="2"/>
  <c r="BB82" i="2" s="1"/>
  <c r="AZ82" i="2"/>
  <c r="AH50" i="2"/>
  <c r="Y50" i="2"/>
  <c r="BB50" i="2" s="1"/>
  <c r="AZ50" i="2"/>
  <c r="AH114" i="2"/>
  <c r="Y114" i="2"/>
  <c r="BB114" i="2" s="1"/>
  <c r="AZ114" i="2"/>
  <c r="AZ85" i="2"/>
  <c r="AH85" i="2"/>
  <c r="AI85" i="2"/>
  <c r="Y85" i="2"/>
  <c r="BB85" i="2" s="1"/>
  <c r="AZ93" i="2"/>
  <c r="AH93" i="2"/>
  <c r="Y93" i="2"/>
  <c r="BB93" i="2" s="1"/>
  <c r="AZ121" i="2"/>
  <c r="Y121" i="2"/>
  <c r="BB121" i="2" s="1"/>
  <c r="AH121" i="2"/>
  <c r="AZ107" i="2"/>
  <c r="AH107" i="2"/>
  <c r="Y107" i="2"/>
  <c r="BB107" i="2" s="1"/>
  <c r="AH54" i="2"/>
  <c r="Y54" i="2"/>
  <c r="BB54" i="2" s="1"/>
  <c r="AZ54" i="2"/>
  <c r="AZ80" i="2"/>
  <c r="AH80" i="2"/>
  <c r="Y80" i="2"/>
  <c r="BB80" i="2" s="1"/>
  <c r="AZ103" i="2"/>
  <c r="AH103" i="2"/>
  <c r="Y103" i="2"/>
  <c r="BB103" i="2" s="1"/>
  <c r="AZ67" i="2"/>
  <c r="AH67" i="2"/>
  <c r="AI67" i="2" s="1"/>
  <c r="Y67" i="2"/>
  <c r="BB67" i="2" s="1"/>
  <c r="AZ75" i="2"/>
  <c r="AH75" i="2"/>
  <c r="Y75" i="2"/>
  <c r="BB75" i="2" s="1"/>
  <c r="AH23" i="2"/>
  <c r="AI23" i="2" s="1"/>
  <c r="Y23" i="2"/>
  <c r="BB23" i="2" s="1"/>
  <c r="AZ23" i="2"/>
  <c r="AZ56" i="2"/>
  <c r="AH56" i="2"/>
  <c r="Y56" i="2"/>
  <c r="BB56" i="2" s="1"/>
  <c r="AZ92" i="2"/>
  <c r="AH92" i="2"/>
  <c r="Y92" i="2"/>
  <c r="BB92" i="2" s="1"/>
  <c r="AH12" i="2"/>
  <c r="Y12" i="2"/>
  <c r="BB12" i="2" s="1"/>
  <c r="AZ12" i="2"/>
  <c r="AZ105" i="2"/>
  <c r="Y105" i="2"/>
  <c r="BB105" i="2" s="1"/>
  <c r="AH105" i="2"/>
  <c r="AZ71" i="2"/>
  <c r="AH71" i="2"/>
  <c r="Y71" i="2"/>
  <c r="BB71" i="2" s="1"/>
  <c r="AH62" i="2"/>
  <c r="Y62" i="2"/>
  <c r="BB62" i="2" s="1"/>
  <c r="AZ62" i="2"/>
  <c r="Y41" i="2"/>
  <c r="BB41" i="2" s="1"/>
  <c r="AH41" i="2"/>
  <c r="AZ41" i="2"/>
  <c r="AZ51" i="2"/>
  <c r="AH51" i="2"/>
  <c r="Y51" i="2"/>
  <c r="BB51" i="2" s="1"/>
  <c r="AZ101" i="2"/>
  <c r="AH101" i="2"/>
  <c r="Y101" i="2"/>
  <c r="BB101" i="2" s="1"/>
  <c r="N48" i="1"/>
  <c r="AZ81" i="2"/>
  <c r="AH81" i="2"/>
  <c r="Y81" i="2"/>
  <c r="BB81" i="2" s="1"/>
  <c r="AZ96" i="2"/>
  <c r="AH96" i="2"/>
  <c r="Y96" i="2"/>
  <c r="BB96" i="2" s="1"/>
  <c r="AZ69" i="2"/>
  <c r="AH69" i="2"/>
  <c r="Y69" i="2"/>
  <c r="BB69" i="2" s="1"/>
  <c r="AH58" i="2"/>
  <c r="Y58" i="2"/>
  <c r="BB58" i="2" s="1"/>
  <c r="AZ58" i="2"/>
  <c r="AH66" i="2"/>
  <c r="AI62" i="2" s="1"/>
  <c r="Y66" i="2"/>
  <c r="BB66" i="2" s="1"/>
  <c r="AZ66" i="2"/>
  <c r="AZ30" i="2"/>
  <c r="Y30" i="2"/>
  <c r="BB30" i="2" s="1"/>
  <c r="AH30" i="2"/>
  <c r="AZ79" i="2"/>
  <c r="AH79" i="2"/>
  <c r="Y79" i="2"/>
  <c r="BB79" i="2" s="1"/>
  <c r="AZ100" i="2"/>
  <c r="AH100" i="2"/>
  <c r="AI28" i="2" s="1"/>
  <c r="Y100" i="2"/>
  <c r="BB100" i="2" s="1"/>
  <c r="AH118" i="2"/>
  <c r="Y118" i="2"/>
  <c r="BB118" i="2" s="1"/>
  <c r="AZ118" i="2"/>
  <c r="AH124" i="2"/>
  <c r="Y124" i="2"/>
  <c r="BB124" i="2" s="1"/>
  <c r="AZ124" i="2"/>
  <c r="AZ64" i="2"/>
  <c r="AH64" i="2"/>
  <c r="AI64" i="2" s="1"/>
  <c r="Y64" i="2"/>
  <c r="BB64" i="2" s="1"/>
  <c r="AH24" i="2"/>
  <c r="AZ24" i="2"/>
  <c r="Y24" i="2"/>
  <c r="BB24" i="2" s="1"/>
  <c r="AZ31" i="2"/>
  <c r="AH31" i="2"/>
  <c r="Y31" i="2"/>
  <c r="BB31" i="2" s="1"/>
  <c r="AZ47" i="2"/>
  <c r="AH47" i="2"/>
  <c r="Y47" i="2"/>
  <c r="BB47" i="2" s="1"/>
  <c r="AH70" i="2"/>
  <c r="Y70" i="2"/>
  <c r="BB70" i="2" s="1"/>
  <c r="AZ70" i="2"/>
  <c r="AH40" i="2"/>
  <c r="Y40" i="2"/>
  <c r="BB40" i="2" s="1"/>
  <c r="AZ40" i="2"/>
  <c r="AZ37" i="2"/>
  <c r="AH37" i="2"/>
  <c r="AI37" i="2" s="1"/>
  <c r="Y37" i="2"/>
  <c r="BB37" i="2" s="1"/>
  <c r="AZ113" i="2"/>
  <c r="AH113" i="2"/>
  <c r="Y113" i="2"/>
  <c r="BB113" i="2" s="1"/>
  <c r="AZ53" i="2"/>
  <c r="AH53" i="2"/>
  <c r="AI53" i="2" s="1"/>
  <c r="Y53" i="2"/>
  <c r="BB53" i="2" s="1"/>
  <c r="AZ83" i="2"/>
  <c r="AH83" i="2"/>
  <c r="Y83" i="2"/>
  <c r="BB83" i="2" s="1"/>
  <c r="K5" i="2" l="1"/>
  <c r="AS5" i="2" s="1"/>
  <c r="L20" i="2"/>
  <c r="L11" i="2"/>
  <c r="O23" i="2"/>
  <c r="O5" i="2"/>
  <c r="O54" i="2"/>
  <c r="K32" i="2"/>
  <c r="AS32" i="2" s="1"/>
  <c r="L18" i="2"/>
  <c r="O25" i="2"/>
  <c r="K23" i="2"/>
  <c r="AS23" i="2" s="1"/>
  <c r="K31" i="2"/>
  <c r="AS31" i="2" s="1"/>
  <c r="L15" i="2"/>
  <c r="O118" i="2"/>
  <c r="K12" i="2"/>
  <c r="AS12" i="2" s="1"/>
  <c r="O82" i="2"/>
  <c r="O81" i="2"/>
  <c r="O58" i="2"/>
  <c r="L16" i="2"/>
  <c r="L13" i="2"/>
  <c r="L5" i="2"/>
  <c r="O87" i="2"/>
  <c r="AI78" i="2"/>
  <c r="O47" i="2"/>
  <c r="K26" i="2"/>
  <c r="AS26" i="2" s="1"/>
  <c r="L8" i="2"/>
  <c r="K22" i="2"/>
  <c r="AS22" i="2" s="1"/>
  <c r="O37" i="2"/>
  <c r="K30" i="2"/>
  <c r="AS30" i="2" s="1"/>
  <c r="AI24" i="2"/>
  <c r="AI21" i="2"/>
  <c r="AI120" i="2"/>
  <c r="K27" i="2"/>
  <c r="AS27" i="2" s="1"/>
  <c r="AI15" i="2"/>
  <c r="L25" i="2"/>
  <c r="AI27" i="2"/>
  <c r="AI42" i="2"/>
  <c r="O14" i="2"/>
  <c r="K10" i="2"/>
  <c r="AS10" i="2" s="1"/>
  <c r="K6" i="2"/>
  <c r="AS6" i="2" s="1"/>
  <c r="L32" i="2"/>
  <c r="O70" i="2"/>
  <c r="L24" i="2"/>
  <c r="L26" i="2"/>
  <c r="O17" i="2"/>
  <c r="L19" i="2"/>
  <c r="K3" i="2"/>
  <c r="AS3" i="2" s="1"/>
  <c r="L23" i="2"/>
  <c r="O40" i="2"/>
  <c r="O29" i="2"/>
  <c r="O44" i="2"/>
  <c r="L6" i="2"/>
  <c r="L14" i="2"/>
  <c r="L10" i="2"/>
  <c r="L7" i="2"/>
  <c r="AI69" i="2"/>
  <c r="O95" i="2"/>
  <c r="K21" i="2"/>
  <c r="AS21" i="2" s="1"/>
  <c r="O28" i="2"/>
  <c r="K2" i="2"/>
  <c r="AS2" i="2" s="1"/>
  <c r="K33" i="2"/>
  <c r="AS33" i="2" s="1"/>
  <c r="O69" i="2"/>
  <c r="K15" i="2"/>
  <c r="AS15" i="2" s="1"/>
  <c r="L4" i="2"/>
  <c r="K28" i="2"/>
  <c r="AS28" i="2" s="1"/>
  <c r="O89" i="2"/>
  <c r="AI10" i="2"/>
  <c r="AI83" i="2"/>
  <c r="AI81" i="2"/>
  <c r="AI119" i="2"/>
  <c r="K19" i="2"/>
  <c r="AS19" i="2" s="1"/>
  <c r="K8" i="2"/>
  <c r="AS8" i="2" s="1"/>
  <c r="L22" i="2"/>
  <c r="O78" i="2"/>
  <c r="AI65" i="2"/>
  <c r="AI25" i="2"/>
  <c r="O56" i="2"/>
  <c r="L3" i="2"/>
  <c r="L31" i="2"/>
  <c r="L27" i="2"/>
  <c r="L17" i="2"/>
  <c r="AI33" i="2"/>
  <c r="AI31" i="2"/>
  <c r="AI114" i="2"/>
  <c r="O113" i="2"/>
  <c r="O121" i="2"/>
  <c r="O36" i="2"/>
  <c r="O84" i="2"/>
  <c r="AI45" i="2"/>
  <c r="K13" i="2"/>
  <c r="AS13" i="2" s="1"/>
  <c r="L12" i="2"/>
  <c r="L30" i="2"/>
  <c r="L29" i="2"/>
  <c r="AI90" i="2"/>
  <c r="AI77" i="2"/>
  <c r="AI79" i="2"/>
  <c r="O53" i="2"/>
  <c r="O27" i="2"/>
  <c r="O50" i="2"/>
  <c r="AI50" i="2"/>
  <c r="AI19" i="2"/>
  <c r="O35" i="2"/>
  <c r="K18" i="2"/>
  <c r="AS18" i="2" s="1"/>
  <c r="K25" i="2"/>
  <c r="AS25" i="2" s="1"/>
  <c r="K9" i="2"/>
  <c r="AS9" i="2" s="1"/>
  <c r="K7" i="2"/>
  <c r="AS7" i="2" s="1"/>
  <c r="L21" i="2"/>
  <c r="AI117" i="2"/>
  <c r="AI112" i="2"/>
  <c r="O48" i="2"/>
  <c r="L28" i="2"/>
  <c r="O93" i="2"/>
  <c r="AI101" i="2"/>
  <c r="O99" i="2"/>
  <c r="K14" i="2"/>
  <c r="AS14" i="2" s="1"/>
  <c r="K24" i="2"/>
  <c r="AS24" i="2" s="1"/>
  <c r="AI126" i="2"/>
  <c r="AI91" i="2"/>
  <c r="O61" i="2"/>
  <c r="O120" i="2"/>
  <c r="AI108" i="2"/>
  <c r="AI71" i="2"/>
  <c r="K20" i="2"/>
  <c r="AS20" i="2" s="1"/>
  <c r="AI58" i="2"/>
  <c r="AI74" i="2"/>
  <c r="AI29" i="2"/>
  <c r="AI93" i="2"/>
  <c r="AI18" i="2"/>
  <c r="O10" i="2"/>
  <c r="K16" i="2"/>
  <c r="AS16" i="2" s="1"/>
  <c r="K29" i="2"/>
  <c r="AS29" i="2" s="1"/>
  <c r="K11" i="2"/>
  <c r="AS11" i="2" s="1"/>
  <c r="K17" i="2"/>
  <c r="AS17" i="2" s="1"/>
  <c r="O85" i="2"/>
  <c r="O59" i="2"/>
  <c r="O12" i="2"/>
  <c r="AI66" i="2"/>
  <c r="O100" i="2"/>
  <c r="AI70" i="2"/>
  <c r="O38" i="2"/>
  <c r="AI115" i="2"/>
  <c r="AI116" i="2"/>
  <c r="AI107" i="2"/>
  <c r="AI14" i="2"/>
  <c r="AI55" i="2"/>
  <c r="O57" i="2"/>
  <c r="AI80" i="2"/>
  <c r="AI122" i="2"/>
  <c r="AI11" i="2"/>
  <c r="AI22" i="2"/>
  <c r="O110" i="2"/>
  <c r="O49" i="2"/>
  <c r="AI96" i="2"/>
  <c r="O6" i="2"/>
  <c r="AI7" i="2"/>
  <c r="AI4" i="2"/>
  <c r="AI76" i="2"/>
  <c r="AI102" i="2"/>
  <c r="AI118" i="2"/>
  <c r="AI111" i="2"/>
  <c r="O102" i="2"/>
  <c r="AI125" i="2"/>
  <c r="O104" i="2"/>
  <c r="AI63" i="2"/>
  <c r="O106" i="2"/>
  <c r="O119" i="2"/>
  <c r="AI39" i="2"/>
  <c r="AI40" i="2"/>
  <c r="AI9" i="2"/>
  <c r="AI84" i="2"/>
  <c r="AI38" i="2"/>
  <c r="AI47" i="2"/>
  <c r="AI51" i="2"/>
  <c r="AI2" i="2"/>
  <c r="O66" i="2"/>
  <c r="AI68" i="2"/>
  <c r="AI20" i="2"/>
  <c r="AI36" i="2"/>
  <c r="O115" i="2"/>
  <c r="O42" i="2"/>
  <c r="O88" i="2"/>
  <c r="O63" i="2"/>
  <c r="AI103" i="2"/>
  <c r="AI104" i="2"/>
  <c r="O73" i="2"/>
  <c r="AI98" i="2"/>
  <c r="AI105" i="2"/>
  <c r="O108" i="2"/>
  <c r="AI54" i="2"/>
  <c r="AI123" i="2"/>
  <c r="AI75" i="2"/>
  <c r="AI46" i="2"/>
  <c r="O43" i="2"/>
  <c r="O75" i="2"/>
  <c r="AI59" i="2"/>
  <c r="O74" i="2"/>
  <c r="AI113" i="2"/>
  <c r="AI100" i="2"/>
  <c r="AI30" i="2"/>
  <c r="O76" i="2"/>
  <c r="AI41" i="2"/>
  <c r="O114" i="2"/>
  <c r="AI86" i="2"/>
  <c r="AI43" i="2"/>
  <c r="O33" i="2"/>
  <c r="AI61" i="2"/>
  <c r="AI57" i="2"/>
  <c r="AT101" i="2"/>
  <c r="O101" i="2"/>
  <c r="AI97" i="2"/>
  <c r="AT18" i="2"/>
  <c r="O18" i="2"/>
  <c r="AT55" i="2"/>
  <c r="O55" i="2"/>
  <c r="AT109" i="2"/>
  <c r="O109" i="2"/>
  <c r="O111" i="2"/>
  <c r="O98" i="2"/>
  <c r="AI124" i="2"/>
  <c r="O97" i="2"/>
  <c r="O116" i="2"/>
  <c r="O34" i="2"/>
  <c r="O105" i="2"/>
  <c r="AI26" i="2"/>
  <c r="AI3" i="2"/>
  <c r="AT96" i="2"/>
  <c r="O96" i="2"/>
  <c r="AI109" i="2"/>
  <c r="O65" i="2"/>
  <c r="O16" i="2"/>
  <c r="AT68" i="2"/>
  <c r="O68" i="2"/>
  <c r="AT117" i="2"/>
  <c r="O117" i="2"/>
  <c r="AI5" i="2"/>
  <c r="O60" i="2"/>
  <c r="AI8" i="2"/>
  <c r="AT51" i="2"/>
  <c r="O51" i="2"/>
  <c r="O9" i="2"/>
  <c r="AI35" i="2"/>
  <c r="AI56" i="2"/>
  <c r="AI82" i="2"/>
  <c r="AI48" i="2"/>
  <c r="AI99" i="2"/>
  <c r="O92" i="2"/>
  <c r="AT67" i="2"/>
  <c r="O67" i="2"/>
  <c r="O72" i="2"/>
  <c r="O20" i="2"/>
  <c r="AI49" i="2"/>
  <c r="O80" i="2"/>
  <c r="AT2" i="2"/>
  <c r="O2" i="2"/>
  <c r="O94" i="2"/>
  <c r="AT107" i="2"/>
  <c r="O107" i="2"/>
  <c r="AI73" i="2"/>
  <c r="O31" i="2"/>
  <c r="O4" i="2"/>
  <c r="AI88" i="2"/>
  <c r="O26" i="2"/>
  <c r="AT79" i="2"/>
  <c r="O79" i="2"/>
  <c r="O7" i="2"/>
  <c r="O13" i="2"/>
  <c r="AT112" i="2"/>
  <c r="O112" i="2"/>
  <c r="O83" i="2"/>
  <c r="AT77" i="2"/>
  <c r="O77" i="2"/>
  <c r="AI32" i="2"/>
  <c r="O52" i="2"/>
  <c r="AI110" i="2"/>
  <c r="O45" i="2"/>
  <c r="AT32" i="2"/>
  <c r="O32" i="2"/>
  <c r="AT8" i="2"/>
  <c r="O8" i="2"/>
  <c r="AT91" i="2"/>
  <c r="O91" i="2"/>
  <c r="O71" i="2"/>
  <c r="AT15" i="2"/>
  <c r="O15" i="2"/>
  <c r="AT24" i="2"/>
  <c r="O24" i="2"/>
  <c r="AI12" i="2"/>
  <c r="AI17" i="2"/>
  <c r="O41" i="2"/>
  <c r="O46" i="2"/>
  <c r="AT19" i="2"/>
  <c r="O19" i="2"/>
  <c r="AT86" i="2"/>
  <c r="O86" i="2"/>
  <c r="O11" i="2"/>
  <c r="O21" i="2"/>
  <c r="O22" i="2"/>
  <c r="O62" i="2"/>
  <c r="O3" i="2"/>
  <c r="O64" i="2"/>
  <c r="O30" i="2"/>
  <c r="AT103" i="2"/>
  <c r="O103" i="2"/>
  <c r="AT90" i="2"/>
  <c r="O90" i="2"/>
  <c r="O39" i="2"/>
  <c r="Q3" i="2" l="1"/>
  <c r="AK1" i="2"/>
  <c r="N32" i="1" s="1"/>
  <c r="N31" i="1"/>
  <c r="N41" i="1" l="1"/>
  <c r="N36" i="1"/>
  <c r="N37" i="1"/>
  <c r="N39" i="1" s="1"/>
  <c r="N35" i="1"/>
  <c r="N38" i="1" l="1"/>
  <c r="J43" i="1" l="1"/>
  <c r="N40" i="1"/>
</calcChain>
</file>

<file path=xl/sharedStrings.xml><?xml version="1.0" encoding="utf-8"?>
<sst xmlns="http://schemas.openxmlformats.org/spreadsheetml/2006/main" count="61" uniqueCount="57">
  <si>
    <t>PROSES VE MAKİNE YETERLİLİĞİ  ·  PROSES</t>
  </si>
  <si>
    <t>Dok. No</t>
  </si>
  <si>
    <t>FR24</t>
  </si>
  <si>
    <t>Y. Tarihi</t>
  </si>
  <si>
    <t>02.01.2023</t>
  </si>
  <si>
    <t>Rev. No</t>
  </si>
  <si>
    <t>01 / 25.08.2026</t>
  </si>
  <si>
    <t>Sayfa</t>
  </si>
  <si>
    <t>1 / 1</t>
  </si>
  <si>
    <t>ÖLÇÜM DEĞERLERİ  (125 adet · Kumpas)</t>
  </si>
  <si>
    <t>TANIMLAMA</t>
  </si>
  <si>
    <t>i</t>
  </si>
  <si>
    <t>xi</t>
  </si>
  <si>
    <t>Ürün</t>
  </si>
  <si>
    <t>Müşteri</t>
  </si>
  <si>
    <t>Teknik resim</t>
  </si>
  <si>
    <t>Karakteristik</t>
  </si>
  <si>
    <t>Ölçüm aleti</t>
  </si>
  <si>
    <t>Sorumlu</t>
  </si>
  <si>
    <t>Tarih</t>
  </si>
  <si>
    <t>Birim</t>
  </si>
  <si>
    <t/>
  </si>
  <si>
    <t>ŞARTNAME</t>
  </si>
  <si>
    <t>Nominal değer</t>
  </si>
  <si>
    <t>Alt limit (LSL)</t>
  </si>
  <si>
    <t>Üst limit (USL)</t>
  </si>
  <si>
    <t>Tolerans</t>
  </si>
  <si>
    <t>İSTATİSTİK  (canlı formül)</t>
  </si>
  <si>
    <t>Örnek sayısı n</t>
  </si>
  <si>
    <t>Ortalama</t>
  </si>
  <si>
    <t>Medyan</t>
  </si>
  <si>
    <t>En küçük</t>
  </si>
  <si>
    <t>En büyük</t>
  </si>
  <si>
    <t>Yayılım R</t>
  </si>
  <si>
    <t>Std. sapma s</t>
  </si>
  <si>
    <t>Anderson-Darling</t>
  </si>
  <si>
    <t>Dağılım</t>
  </si>
  <si>
    <t>YETERLİLİK  (dağılıma göre düzeltilmiş — rapor değeri)</t>
  </si>
  <si>
    <t>Cpkl (alt yan)</t>
  </si>
  <si>
    <t>Cpku (üst yan)</t>
  </si>
  <si>
    <t>Cp</t>
  </si>
  <si>
    <t>Cpk</t>
  </si>
  <si>
    <t>Pp</t>
  </si>
  <si>
    <t>Ppk</t>
  </si>
  <si>
    <t>Yöntem</t>
  </si>
  <si>
    <t>SINIR DIŞI BEKLENTİSİ  (ppm)</t>
  </si>
  <si>
    <t>Hesaplanan &lt; LSL</t>
  </si>
  <si>
    <t>Hesaplanan &gt; USL</t>
  </si>
  <si>
    <t>Hesaplanan toplam</t>
  </si>
  <si>
    <t>Gözlenen (örnekte)</t>
  </si>
  <si>
    <t>Kabul: Cpk ≥ 1,67 yeterli · 1,33–1,67 müşteri temsilcisiyle gözden geçirilir · &lt; 1,33 yetersiz (AIAG PPAP 2.2.11)</t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</si>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</sst>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"/>
    <numFmt numFmtId="167" formatCode="0.0"/>
  </numFmts>
  <fonts count="13" x14ac:knownFonts="1">
    <font>
      <sz val="11"/>
      <color theme="1"/>
      <name val="Calibri"/>
      <family val="2"/>
      <scheme val="minor"/>
    </font>
    <font>
      <b/>
      <sz val="20"/>
      <color rgb="FF1F3864"/>
      <name val="Calibri"/>
    </font>
    <font>
      <sz val="9"/>
      <color rgb="FF000000"/>
      <name val="Calibri"/>
    </font>
    <font>
      <b/>
      <sz val="8"/>
      <color rgb="FF000000"/>
      <name val="Calibri"/>
    </font>
    <font>
      <sz val="8"/>
      <color rgb="FF000000"/>
      <name val="Calibri"/>
    </font>
    <font>
      <b/>
      <sz val="9"/>
      <color rgb="FFFFFFFF"/>
      <name val="Calibri"/>
    </font>
    <font>
      <sz val="8"/>
      <color rgb="FF808080"/>
      <name val="Calibri"/>
    </font>
    <font>
      <b/>
      <sz val="9"/>
      <color rgb="FF000000"/>
      <name val="Calibri"/>
    </font>
    <font>
      <b/>
      <sz val="10"/>
      <color rgb="FF000000"/>
      <name val="Calibri"/>
    </font>
    <font>
      <b/>
      <sz val="11"/>
      <color rgb="FF000000"/>
      <name val="Calibri"/>
    </font>
    <font>
      <i/>
      <sz val="7"/>
      <color rgb="FF6B7280"/>
      <name val="Calibri"/>
    </font>
    <font>
      <sz val="10"/>
      <name val="Calibri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rgb="FF7F9DB9"/>
      </left>
      <right style="thin">
        <color rgb="FF7F9DB9"/>
      </right>
      <top style="thin">
        <color rgb="FF7F9DB9"/>
      </top>
      <bottom style="thin">
        <color rgb="FF7F9DB9"/>
      </bottom>
      <diagonal/>
    </border>
    <border>
      <left/>
      <right/>
      <top style="medium">
        <color rgb="FF1F3864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0" fontId="6" fillId="0" borderId="1" xfId="0" applyFont="1" applyBorder="1" applyAlignment="1">
      <alignment horizontal="center" vertical="center"/>
    </xf>
    <xf numFmtId="167" fontId="4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165" fontId="2" fillId="4" borderId="1" xfId="0" applyNumberFormat="1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0" fillId="0" borderId="0" xfId="0"/>
    <xf numFmtId="0" fontId="8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1" fillId="0" borderId="3" xfId="0" applyNumberFormat="1" applyFont="1" applyBorder="1"/>
    <xf numFmtId="0" fontId="12" fillId="0" borderId="4" xfId="0" applyFont="1" applyBorder="1" applyAlignment="1">
      <alignment horizontal="right" vertical="center"/>
    </xf>
    <xf numFmtId="14" fontId="4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Kronolojik ölçüm sırası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ölçüm</c:v>
          </c:tx>
          <c:spPr>
            <a:ln w="6350">
              <a:solidFill>
                <a:srgbClr val="1F3864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  <a:prstDash val="solid"/>
              </a:ln>
            </c:spPr>
          </c:marker>
          <c:xVal>
            <c:numRef>
              <c:f>veri!$A$2:$A$126</c:f>
            </c:numRef>
          </c:xVal>
          <c:yVal>
            <c:numRef>
              <c:f>veri!$AM$2:$AM$126</c:f>
            </c:numRef>
          </c:yVal>
          <c:smooth val="0"/>
          <c:extLst>
            <c:ext xmlns:c16="http://schemas.microsoft.com/office/drawing/2014/chart" uri="{C3380CC4-5D6E-409C-BE32-E72D297353CC}">
              <c16:uniqueId val="{00000000-8C2E-4669-853C-1DD91CD9F49B}"/>
            </c:ext>
          </c:extLst>
        </c:ser>
        <c:ser>
          <c:idx val="1"/>
          <c:order val="1"/>
          <c:tx>
            <c:v>USL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veri!$D$2:$D$3</c:f>
            </c:numRef>
          </c:xVal>
          <c:yVal>
            <c:numRef>
              <c:f>veri!$AO$2:$AO$3</c:f>
            </c:numRef>
          </c:yVal>
          <c:smooth val="0"/>
          <c:extLst>
            <c:ext xmlns:c16="http://schemas.microsoft.com/office/drawing/2014/chart" uri="{C3380CC4-5D6E-409C-BE32-E72D297353CC}">
              <c16:uniqueId val="{00000001-8C2E-4669-853C-1DD91CD9F49B}"/>
            </c:ext>
          </c:extLst>
        </c:ser>
        <c:ser>
          <c:idx val="2"/>
          <c:order val="2"/>
          <c:tx>
            <c:v>LSL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veri!$D$2:$D$3</c:f>
            </c:numRef>
          </c:xVal>
          <c:yVal>
            <c:numRef>
              <c:f>veri!$AN$2:$AN$3</c:f>
            </c:numRef>
          </c:yVal>
          <c:smooth val="0"/>
          <c:extLst>
            <c:ext xmlns:c16="http://schemas.microsoft.com/office/drawing/2014/chart" uri="{C3380CC4-5D6E-409C-BE32-E72D297353CC}">
              <c16:uniqueId val="{00000002-8C2E-4669-853C-1DD91CD9F49B}"/>
            </c:ext>
          </c:extLst>
        </c:ser>
        <c:ser>
          <c:idx val="3"/>
          <c:order val="3"/>
          <c:tx>
            <c:v>ortalama</c:v>
          </c:tx>
          <c:spPr>
            <a:ln w="12700">
              <a:solidFill>
                <a:srgbClr val="00A650"/>
              </a:solidFill>
              <a:prstDash val="solid"/>
            </a:ln>
          </c:spPr>
          <c:marker>
            <c:symbol val="none"/>
          </c:marker>
          <c:xVal>
            <c:numRef>
              <c:f>veri!$D$2:$D$3</c:f>
            </c:numRef>
          </c:xVal>
          <c:yVal>
            <c:numRef>
              <c:f>veri!$AP$2:$AP$3</c:f>
            </c:numRef>
          </c:yVal>
          <c:smooth val="0"/>
          <c:extLst>
            <c:ext xmlns:c16="http://schemas.microsoft.com/office/drawing/2014/chart" uri="{C3380CC4-5D6E-409C-BE32-E72D297353CC}">
              <c16:uniqueId val="{00000003-8C2E-4669-853C-1DD91CD9F49B}"/>
            </c:ext>
          </c:extLst>
        </c:ser>
        <c:ser>
          <c:idx val="4"/>
          <c:order val="4"/>
          <c:tx>
            <c:v>+3σ</c:v>
          </c:tx>
          <c:spPr>
            <a:ln w="9525">
              <a:solidFill>
                <a:srgbClr val="4472C4"/>
              </a:solidFill>
              <a:prstDash val="sysDot"/>
            </a:ln>
          </c:spPr>
          <c:marker>
            <c:symbol val="none"/>
          </c:marker>
          <c:xVal>
            <c:numRef>
              <c:f>veri!$D$2:$D$3</c:f>
            </c:numRef>
          </c:xVal>
          <c:yVal>
            <c:numRef>
              <c:f>veri!$AR$2:$AR$3</c:f>
            </c:numRef>
          </c:yVal>
          <c:smooth val="0"/>
          <c:extLst>
            <c:ext xmlns:c16="http://schemas.microsoft.com/office/drawing/2014/chart" uri="{C3380CC4-5D6E-409C-BE32-E72D297353CC}">
              <c16:uniqueId val="{00000004-8C2E-4669-853C-1DD91CD9F49B}"/>
            </c:ext>
          </c:extLst>
        </c:ser>
        <c:ser>
          <c:idx val="5"/>
          <c:order val="5"/>
          <c:tx>
            <c:v>−3σ</c:v>
          </c:tx>
          <c:spPr>
            <a:ln w="9525">
              <a:solidFill>
                <a:srgbClr val="4472C4"/>
              </a:solidFill>
              <a:prstDash val="sysDot"/>
            </a:ln>
          </c:spPr>
          <c:marker>
            <c:symbol val="none"/>
          </c:marker>
          <c:xVal>
            <c:numRef>
              <c:f>veri!$D$2:$D$3</c:f>
            </c:numRef>
          </c:xVal>
          <c:yVal>
            <c:numRef>
              <c:f>veri!$AQ$2:$AQ$3</c:f>
            </c:numRef>
          </c:yVal>
          <c:smooth val="0"/>
          <c:extLst>
            <c:ext xmlns:c16="http://schemas.microsoft.com/office/drawing/2014/chart" uri="{C3380CC4-5D6E-409C-BE32-E72D297353CC}">
              <c16:uniqueId val="{00000005-8C2E-4669-853C-1DD91CD9F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26"/>
          <c:min val="0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ölçüm no (i)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ölçü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Histogram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dağılım</c:v>
          </c:tx>
          <c:spPr>
            <a:ln w="12700"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veri!$AS$2:$AS$47</c:f>
            </c:numRef>
          </c:xVal>
          <c:yVal>
            <c:numRef>
              <c:f>veri!$L$2:$L$47</c:f>
            </c:numRef>
          </c:yVal>
          <c:smooth val="0"/>
          <c:extLst>
            <c:ext xmlns:c16="http://schemas.microsoft.com/office/drawing/2014/chart" uri="{C3380CC4-5D6E-409C-BE32-E72D297353CC}">
              <c16:uniqueId val="{00000000-B49F-4C2B-A6A0-3E63F179B4B7}"/>
            </c:ext>
          </c:extLst>
        </c:ser>
        <c:ser>
          <c:idx val="1"/>
          <c:order val="1"/>
          <c:tx>
            <c:v>normal eğri</c:v>
          </c:tx>
          <c:spPr>
            <a:ln w="1905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veri!$AT$2:$AT$121</c:f>
            </c:numRef>
          </c:xVal>
          <c:yVal>
            <c:numRef>
              <c:f>veri!$O$2:$O$121</c:f>
            </c:numRef>
          </c:yVal>
          <c:smooth val="1"/>
          <c:extLst>
            <c:ext xmlns:c16="http://schemas.microsoft.com/office/drawing/2014/chart" uri="{C3380CC4-5D6E-409C-BE32-E72D297353CC}">
              <c16:uniqueId val="{00000001-B49F-4C2B-A6A0-3E63F179B4B7}"/>
            </c:ext>
          </c:extLst>
        </c:ser>
        <c:ser>
          <c:idx val="2"/>
          <c:order val="2"/>
          <c:tx>
            <c:v>LSL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veri!$AU$2:$AU$3</c:f>
            </c:numRef>
          </c:xVal>
          <c:yVal>
            <c:numRef>
              <c:f>veri!$Q$2:$Q$3</c:f>
            </c:numRef>
          </c:yVal>
          <c:smooth val="0"/>
          <c:extLst>
            <c:ext xmlns:c16="http://schemas.microsoft.com/office/drawing/2014/chart" uri="{C3380CC4-5D6E-409C-BE32-E72D297353CC}">
              <c16:uniqueId val="{00000002-B49F-4C2B-A6A0-3E63F179B4B7}"/>
            </c:ext>
          </c:extLst>
        </c:ser>
        <c:ser>
          <c:idx val="3"/>
          <c:order val="3"/>
          <c:tx>
            <c:v>USL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veri!$AV$2:$AV$3</c:f>
            </c:numRef>
          </c:xVal>
          <c:yVal>
            <c:numRef>
              <c:f>veri!$Q$2:$Q$3</c:f>
            </c:numRef>
          </c:yVal>
          <c:smooth val="0"/>
          <c:extLst>
            <c:ext xmlns:c16="http://schemas.microsoft.com/office/drawing/2014/chart" uri="{C3380CC4-5D6E-409C-BE32-E72D297353CC}">
              <c16:uniqueId val="{00000003-B49F-4C2B-A6A0-3E63F179B4B7}"/>
            </c:ext>
          </c:extLst>
        </c:ser>
        <c:ser>
          <c:idx val="4"/>
          <c:order val="4"/>
          <c:tx>
            <c:v>nominal</c:v>
          </c:tx>
          <c:spPr>
            <a:ln w="12700">
              <a:solidFill>
                <a:srgbClr val="00A650"/>
              </a:solidFill>
              <a:prstDash val="dashDot"/>
            </a:ln>
          </c:spPr>
          <c:marker>
            <c:symbol val="none"/>
          </c:marker>
          <c:xVal>
            <c:numRef>
              <c:f>veri!$AW$2:$AW$3</c:f>
            </c:numRef>
          </c:xVal>
          <c:yVal>
            <c:numRef>
              <c:f>veri!$Q$2:$Q$3</c:f>
            </c:numRef>
          </c:yVal>
          <c:smooth val="0"/>
          <c:extLst>
            <c:ext xmlns:c16="http://schemas.microsoft.com/office/drawing/2014/chart" uri="{C3380CC4-5D6E-409C-BE32-E72D297353CC}">
              <c16:uniqueId val="{00000004-B49F-4C2B-A6A0-3E63F179B4B7}"/>
            </c:ext>
          </c:extLst>
        </c:ser>
        <c:ser>
          <c:idx val="5"/>
          <c:order val="5"/>
          <c:tx>
            <c:v>−3σ</c:v>
          </c:tx>
          <c:spPr>
            <a:ln w="9525">
              <a:solidFill>
                <a:srgbClr val="808080"/>
              </a:solidFill>
              <a:prstDash val="sysDot"/>
            </a:ln>
          </c:spPr>
          <c:marker>
            <c:symbol val="none"/>
          </c:marker>
          <c:xVal>
            <c:numRef>
              <c:f>veri!$AX$2:$AX$3</c:f>
            </c:numRef>
          </c:xVal>
          <c:yVal>
            <c:numRef>
              <c:f>veri!$Q$2:$Q$3</c:f>
            </c:numRef>
          </c:yVal>
          <c:smooth val="0"/>
          <c:extLst>
            <c:ext xmlns:c16="http://schemas.microsoft.com/office/drawing/2014/chart" uri="{C3380CC4-5D6E-409C-BE32-E72D297353CC}">
              <c16:uniqueId val="{00000005-B49F-4C2B-A6A0-3E63F179B4B7}"/>
            </c:ext>
          </c:extLst>
        </c:ser>
        <c:ser>
          <c:idx val="6"/>
          <c:order val="6"/>
          <c:tx>
            <c:v>+3σ</c:v>
          </c:tx>
          <c:spPr>
            <a:ln w="9525">
              <a:solidFill>
                <a:srgbClr val="808080"/>
              </a:solidFill>
              <a:prstDash val="sysDot"/>
            </a:ln>
          </c:spPr>
          <c:marker>
            <c:symbol val="none"/>
          </c:marker>
          <c:xVal>
            <c:numRef>
              <c:f>veri!$AY$2:$AY$3</c:f>
            </c:numRef>
          </c:xVal>
          <c:yVal>
            <c:numRef>
              <c:f>veri!$Q$2:$Q$3</c:f>
            </c:numRef>
          </c:yVal>
          <c:smooth val="0"/>
          <c:extLst>
            <c:ext xmlns:c16="http://schemas.microsoft.com/office/drawing/2014/chart" uri="{C3380CC4-5D6E-409C-BE32-E72D297353CC}">
              <c16:uniqueId val="{00000006-B49F-4C2B-A6A0-3E63F179B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ölçü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1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adet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Normal olasılık grafiği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ölçüm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  <a:prstDash val="solid"/>
              </a:ln>
            </c:spPr>
          </c:marker>
          <c:xVal>
            <c:numRef>
              <c:f>veri!$AZ$2:$AZ$126</c:f>
            </c:numRef>
          </c:xVal>
          <c:yVal>
            <c:numRef>
              <c:f>veri!$BB$2:$BB$126</c:f>
            </c:numRef>
          </c:yVal>
          <c:smooth val="0"/>
          <c:extLst>
            <c:ext xmlns:c16="http://schemas.microsoft.com/office/drawing/2014/chart" uri="{C3380CC4-5D6E-409C-BE32-E72D297353CC}">
              <c16:uniqueId val="{00000000-83F9-46FD-8FD1-183B2E9CF03D}"/>
            </c:ext>
          </c:extLst>
        </c:ser>
        <c:ser>
          <c:idx val="1"/>
          <c:order val="1"/>
          <c:tx>
            <c:v>normal referans</c:v>
          </c:tx>
          <c:spPr>
            <a:ln w="1905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veri!$BA$2:$BA$3</c:f>
            </c:numRef>
          </c:xVal>
          <c:yVal>
            <c:numRef>
              <c:f>veri!$AB$2:$AB$3</c:f>
            </c:numRef>
          </c:yVal>
          <c:smooth val="0"/>
          <c:extLst>
            <c:ext xmlns:c16="http://schemas.microsoft.com/office/drawing/2014/chart" uri="{C3380CC4-5D6E-409C-BE32-E72D297353CC}">
              <c16:uniqueId val="{00000001-83F9-46FD-8FD1-183B2E9CF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ölçü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2"/>
          <c:min val="-3.2"/>
        </c:scaling>
        <c:delete val="1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u değeri (z)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6</xdr:row>
      <xdr:rowOff>0</xdr:rowOff>
    </xdr:from>
    <xdr:ext cx="5740400" cy="3024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19</xdr:col>
      <xdr:colOff>0</xdr:colOff>
      <xdr:row>27</xdr:row>
      <xdr:rowOff>0</xdr:rowOff>
    </xdr:from>
    <xdr:ext cx="4824000" cy="345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43</xdr:col>
      <xdr:colOff>0</xdr:colOff>
      <xdr:row>27</xdr:row>
      <xdr:rowOff>0</xdr:rowOff>
    </xdr:from>
    <xdr:ext cx="4392000" cy="345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1</xdr:row>
      <xdr:rowOff>0</xdr:rowOff>
    </xdr:from>
    <xdr:ext cx="1743075" cy="4191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74"/>
  <sheetViews>
    <sheetView showGridLines="0" tabSelected="1" zoomScaleNormal="100" workbookViewId="0">
      <pane ySplit="6" topLeftCell="A7" activePane="bottomLeft" state="frozen"/>
      <selection pane="bottomLeft" activeCell="N11" sqref="N11:R11"/>
    </sheetView>
  </sheetViews>
  <sheetFormatPr defaultRowHeight="14.4" x14ac:dyDescent="0.3"/>
  <cols>
    <col min="1" max="1" width="4.21875" customWidth="1"/>
    <col min="2" max="2" width="8.5546875" customWidth="1"/>
    <col min="3" max="3" width="4.21875" customWidth="1"/>
    <col min="4" max="4" width="8.5546875" customWidth="1"/>
    <col min="5" max="5" width="4.21875" customWidth="1"/>
    <col min="6" max="6" width="8.5546875" customWidth="1"/>
    <col min="7" max="7" width="4.21875" customWidth="1"/>
    <col min="8" max="8" width="8.5546875" customWidth="1"/>
    <col min="9" max="9" width="1.5546875" customWidth="1"/>
    <col min="10" max="13" width="8" customWidth="1"/>
    <col min="14" max="18" width="7.44140625" customWidth="1"/>
    <col min="19" max="19" width="1.5546875" customWidth="1"/>
    <col min="20" max="65" width="3.21875" customWidth="1"/>
  </cols>
  <sheetData>
    <row r="1" spans="1:45" ht="13.95" customHeight="1" x14ac:dyDescent="0.3">
      <c r="A1" s="19"/>
      <c r="B1" s="19"/>
      <c r="C1" s="19"/>
      <c r="D1" s="19"/>
      <c r="E1" s="19"/>
      <c r="F1" s="19"/>
      <c r="G1" s="19"/>
      <c r="H1" s="19"/>
      <c r="J1" s="28" t="s">
        <v>0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6" t="s">
        <v>1</v>
      </c>
      <c r="AL1" s="7"/>
      <c r="AM1" s="7"/>
      <c r="AN1" s="26" t="s">
        <v>2</v>
      </c>
      <c r="AO1" s="23"/>
      <c r="AP1" s="23"/>
      <c r="AQ1" s="23"/>
      <c r="AR1" s="23"/>
      <c r="AS1" s="23"/>
    </row>
    <row r="2" spans="1:45" ht="16.95" customHeight="1" x14ac:dyDescent="0.3">
      <c r="A2" s="19"/>
      <c r="B2" s="19"/>
      <c r="C2" s="19"/>
      <c r="D2" s="19"/>
      <c r="E2" s="19"/>
      <c r="F2" s="19"/>
      <c r="G2" s="19"/>
      <c r="H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6" t="s">
        <v>3</v>
      </c>
      <c r="AL2" s="7"/>
      <c r="AM2" s="7"/>
      <c r="AN2" s="26" t="s">
        <v>4</v>
      </c>
      <c r="AO2" s="23"/>
      <c r="AP2" s="23"/>
      <c r="AQ2" s="23"/>
      <c r="AR2" s="23"/>
      <c r="AS2" s="23"/>
    </row>
    <row r="3" spans="1:45" ht="16.95" customHeight="1" x14ac:dyDescent="0.3">
      <c r="A3" s="19"/>
      <c r="B3" s="19"/>
      <c r="C3" s="19"/>
      <c r="D3" s="19"/>
      <c r="E3" s="19"/>
      <c r="F3" s="19"/>
      <c r="G3" s="19"/>
      <c r="H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6" t="s">
        <v>5</v>
      </c>
      <c r="AL3" s="7"/>
      <c r="AM3" s="7"/>
      <c r="AN3" s="26" t="s">
        <v>6</v>
      </c>
      <c r="AO3" s="23"/>
      <c r="AP3" s="23"/>
      <c r="AQ3" s="23"/>
      <c r="AR3" s="23"/>
      <c r="AS3" s="23"/>
    </row>
    <row r="4" spans="1:45" ht="16.95" customHeight="1" x14ac:dyDescent="0.3">
      <c r="A4" s="19"/>
      <c r="B4" s="19"/>
      <c r="C4" s="19"/>
      <c r="D4" s="19"/>
      <c r="E4" s="19"/>
      <c r="F4" s="19"/>
      <c r="G4" s="19"/>
      <c r="H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6" t="s">
        <v>7</v>
      </c>
      <c r="AL4" s="7"/>
      <c r="AM4" s="7"/>
      <c r="AN4" s="26" t="s">
        <v>8</v>
      </c>
      <c r="AO4" s="23"/>
      <c r="AP4" s="23"/>
      <c r="AQ4" s="23"/>
      <c r="AR4" s="23"/>
      <c r="AS4" s="23"/>
    </row>
    <row r="5" spans="1:45" x14ac:dyDescent="0.3">
      <c r="A5" s="19"/>
      <c r="B5" s="19"/>
      <c r="C5" s="19"/>
      <c r="D5" s="19"/>
      <c r="E5" s="19"/>
      <c r="F5" s="19"/>
      <c r="G5" s="19"/>
      <c r="H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</row>
    <row r="6" spans="1:45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x14ac:dyDescent="0.3">
      <c r="A7" s="12" t="s">
        <v>9</v>
      </c>
      <c r="B7" s="13"/>
      <c r="C7" s="13"/>
      <c r="D7" s="13"/>
      <c r="E7" s="13"/>
      <c r="F7" s="13"/>
      <c r="G7" s="13"/>
      <c r="H7" s="13"/>
      <c r="J7" s="12" t="s">
        <v>10</v>
      </c>
      <c r="K7" s="13"/>
      <c r="L7" s="13"/>
      <c r="M7" s="13"/>
      <c r="N7" s="13"/>
      <c r="O7" s="13"/>
      <c r="P7" s="13"/>
      <c r="Q7" s="13"/>
      <c r="R7" s="13"/>
    </row>
    <row r="8" spans="1:45" x14ac:dyDescent="0.3">
      <c r="A8" s="1" t="s">
        <v>11</v>
      </c>
      <c r="B8" s="1" t="s">
        <v>12</v>
      </c>
      <c r="C8" s="1" t="s">
        <v>11</v>
      </c>
      <c r="D8" s="1" t="s">
        <v>12</v>
      </c>
      <c r="E8" s="1" t="s">
        <v>11</v>
      </c>
      <c r="F8" s="1" t="s">
        <v>12</v>
      </c>
      <c r="J8" s="8" t="s">
        <v>13</v>
      </c>
      <c r="K8" s="7"/>
      <c r="L8" s="7"/>
      <c r="M8" s="7"/>
      <c r="N8" s="11"/>
      <c r="O8" s="5"/>
      <c r="P8" s="5"/>
      <c r="Q8" s="5"/>
      <c r="R8" s="5"/>
    </row>
    <row r="9" spans="1:45" x14ac:dyDescent="0.3">
      <c r="A9" s="3">
        <v>1</v>
      </c>
      <c r="B9" s="29"/>
      <c r="C9" s="3">
        <v>51</v>
      </c>
      <c r="D9" s="29"/>
      <c r="E9" s="3">
        <v>101</v>
      </c>
      <c r="F9" s="30"/>
      <c r="J9" s="8" t="s">
        <v>14</v>
      </c>
      <c r="K9" s="7"/>
      <c r="L9" s="7"/>
      <c r="M9" s="7"/>
      <c r="N9" s="11"/>
      <c r="O9" s="5"/>
      <c r="P9" s="5"/>
      <c r="Q9" s="5"/>
      <c r="R9" s="5"/>
    </row>
    <row r="10" spans="1:45" x14ac:dyDescent="0.3">
      <c r="A10" s="3">
        <v>2</v>
      </c>
      <c r="B10" s="29"/>
      <c r="C10" s="3">
        <v>52</v>
      </c>
      <c r="D10" s="29"/>
      <c r="E10" s="3">
        <v>102</v>
      </c>
      <c r="F10" s="30"/>
      <c r="J10" s="8" t="s">
        <v>15</v>
      </c>
      <c r="K10" s="7"/>
      <c r="L10" s="7"/>
      <c r="M10" s="7"/>
      <c r="N10" s="11"/>
      <c r="O10" s="5"/>
      <c r="P10" s="5"/>
      <c r="Q10" s="5"/>
      <c r="R10" s="5"/>
    </row>
    <row r="11" spans="1:45" x14ac:dyDescent="0.3">
      <c r="A11" s="3">
        <v>3</v>
      </c>
      <c r="B11" s="29"/>
      <c r="C11" s="3">
        <v>53</v>
      </c>
      <c r="D11" s="29"/>
      <c r="E11" s="3">
        <v>103</v>
      </c>
      <c r="F11" s="30"/>
      <c r="J11" s="8" t="s">
        <v>16</v>
      </c>
      <c r="K11" s="7"/>
      <c r="L11" s="7"/>
      <c r="M11" s="7"/>
      <c r="N11" s="11"/>
      <c r="O11" s="5"/>
      <c r="P11" s="5"/>
      <c r="Q11" s="5"/>
      <c r="R11" s="5"/>
    </row>
    <row r="12" spans="1:45" x14ac:dyDescent="0.3">
      <c r="A12" s="3">
        <v>4</v>
      </c>
      <c r="B12" s="29"/>
      <c r="C12" s="3">
        <v>54</v>
      </c>
      <c r="D12" s="29"/>
      <c r="E12" s="3">
        <v>104</v>
      </c>
      <c r="F12" s="30"/>
      <c r="J12" s="8" t="s">
        <v>17</v>
      </c>
      <c r="K12" s="7"/>
      <c r="L12" s="7"/>
      <c r="M12" s="7"/>
      <c r="N12" s="11"/>
      <c r="O12" s="5"/>
      <c r="P12" s="5"/>
      <c r="Q12" s="5"/>
      <c r="R12" s="5"/>
    </row>
    <row r="13" spans="1:45" x14ac:dyDescent="0.3">
      <c r="A13" s="3">
        <v>5</v>
      </c>
      <c r="B13" s="29"/>
      <c r="C13" s="3">
        <v>55</v>
      </c>
      <c r="D13" s="29"/>
      <c r="E13" s="3">
        <v>105</v>
      </c>
      <c r="F13" s="30"/>
      <c r="J13" s="8" t="s">
        <v>18</v>
      </c>
      <c r="K13" s="7"/>
      <c r="L13" s="7"/>
      <c r="M13" s="7"/>
      <c r="N13" s="11"/>
      <c r="O13" s="5"/>
      <c r="P13" s="5"/>
      <c r="Q13" s="5"/>
      <c r="R13" s="5"/>
    </row>
    <row r="14" spans="1:45" x14ac:dyDescent="0.3">
      <c r="A14" s="3">
        <v>6</v>
      </c>
      <c r="B14" s="29"/>
      <c r="C14" s="3">
        <v>56</v>
      </c>
      <c r="D14" s="29"/>
      <c r="E14" s="3">
        <v>106</v>
      </c>
      <c r="F14" s="30"/>
      <c r="J14" s="8" t="s">
        <v>19</v>
      </c>
      <c r="K14" s="7"/>
      <c r="L14" s="7"/>
      <c r="M14" s="7"/>
      <c r="N14" s="31"/>
      <c r="O14" s="5"/>
      <c r="P14" s="5"/>
      <c r="Q14" s="5"/>
      <c r="R14" s="5"/>
    </row>
    <row r="15" spans="1:45" x14ac:dyDescent="0.3">
      <c r="A15" s="3">
        <v>7</v>
      </c>
      <c r="B15" s="29"/>
      <c r="C15" s="3">
        <v>57</v>
      </c>
      <c r="D15" s="29"/>
      <c r="E15" s="3">
        <v>107</v>
      </c>
      <c r="F15" s="30"/>
      <c r="J15" s="8" t="s">
        <v>20</v>
      </c>
      <c r="K15" s="7"/>
      <c r="L15" s="7"/>
      <c r="M15" s="7"/>
      <c r="N15" s="11"/>
      <c r="O15" s="5"/>
      <c r="P15" s="5"/>
      <c r="Q15" s="5"/>
      <c r="R15" s="5"/>
    </row>
    <row r="16" spans="1:45" x14ac:dyDescent="0.3">
      <c r="A16" s="3">
        <v>8</v>
      </c>
      <c r="B16" s="29"/>
      <c r="C16" s="3">
        <v>58</v>
      </c>
      <c r="D16" s="29"/>
      <c r="E16" s="3">
        <v>108</v>
      </c>
      <c r="F16" s="30"/>
    </row>
    <row r="17" spans="1:18" x14ac:dyDescent="0.3">
      <c r="A17" s="3">
        <v>9</v>
      </c>
      <c r="B17" s="29"/>
      <c r="C17" s="3">
        <v>59</v>
      </c>
      <c r="D17" s="29"/>
      <c r="E17" s="3">
        <v>109</v>
      </c>
      <c r="F17" s="30"/>
      <c r="J17" s="12" t="s">
        <v>22</v>
      </c>
      <c r="K17" s="13"/>
      <c r="L17" s="13"/>
      <c r="M17" s="13"/>
      <c r="N17" s="13"/>
      <c r="O17" s="13"/>
      <c r="P17" s="13"/>
      <c r="Q17" s="13"/>
      <c r="R17" s="13"/>
    </row>
    <row r="18" spans="1:18" x14ac:dyDescent="0.3">
      <c r="A18" s="3">
        <v>10</v>
      </c>
      <c r="B18" s="29"/>
      <c r="C18" s="3">
        <v>60</v>
      </c>
      <c r="D18" s="29"/>
      <c r="E18" s="3">
        <v>110</v>
      </c>
      <c r="F18" s="30"/>
      <c r="J18" s="21" t="s">
        <v>23</v>
      </c>
      <c r="K18" s="7"/>
      <c r="L18" s="7"/>
      <c r="M18" s="7"/>
      <c r="N18" s="18"/>
      <c r="O18" s="5"/>
      <c r="P18" s="5"/>
      <c r="Q18" s="5"/>
      <c r="R18" s="5"/>
    </row>
    <row r="19" spans="1:18" x14ac:dyDescent="0.3">
      <c r="A19" s="3">
        <v>11</v>
      </c>
      <c r="B19" s="29"/>
      <c r="C19" s="3">
        <v>61</v>
      </c>
      <c r="D19" s="29"/>
      <c r="E19" s="3">
        <v>111</v>
      </c>
      <c r="F19" s="30"/>
      <c r="J19" s="21" t="s">
        <v>24</v>
      </c>
      <c r="K19" s="7"/>
      <c r="L19" s="7"/>
      <c r="M19" s="7"/>
      <c r="N19" s="18"/>
      <c r="O19" s="5"/>
      <c r="P19" s="5"/>
      <c r="Q19" s="5"/>
      <c r="R19" s="5"/>
    </row>
    <row r="20" spans="1:18" x14ac:dyDescent="0.3">
      <c r="A20" s="3">
        <v>12</v>
      </c>
      <c r="B20" s="29"/>
      <c r="C20" s="3">
        <v>62</v>
      </c>
      <c r="D20" s="29"/>
      <c r="E20" s="3">
        <v>112</v>
      </c>
      <c r="F20" s="30"/>
      <c r="J20" s="21" t="s">
        <v>25</v>
      </c>
      <c r="K20" s="7"/>
      <c r="L20" s="7"/>
      <c r="M20" s="7"/>
      <c r="N20" s="18"/>
      <c r="O20" s="5"/>
      <c r="P20" s="5"/>
      <c r="Q20" s="5"/>
      <c r="R20" s="5"/>
    </row>
    <row r="21" spans="1:18" x14ac:dyDescent="0.3">
      <c r="A21" s="3">
        <v>13</v>
      </c>
      <c r="B21" s="29"/>
      <c r="C21" s="3">
        <v>63</v>
      </c>
      <c r="D21" s="29"/>
      <c r="E21" s="3">
        <v>113</v>
      </c>
      <c r="F21" s="30"/>
      <c r="J21" s="21" t="s">
        <v>26</v>
      </c>
      <c r="K21" s="7"/>
      <c r="L21" s="7"/>
      <c r="M21" s="7"/>
      <c r="N21" s="18">
        <f>N20-N19</f>
      </c>
      <c r="O21" s="5"/>
      <c r="P21" s="5"/>
      <c r="Q21" s="5"/>
      <c r="R21" s="5"/>
    </row>
    <row r="22" spans="1:18" x14ac:dyDescent="0.3">
      <c r="A22" s="3">
        <v>14</v>
      </c>
      <c r="B22" s="29"/>
      <c r="C22" s="3">
        <v>64</v>
      </c>
      <c r="D22" s="29"/>
      <c r="E22" s="3">
        <v>114</v>
      </c>
      <c r="F22" s="30"/>
    </row>
    <row r="23" spans="1:18" x14ac:dyDescent="0.3">
      <c r="A23" s="3">
        <v>15</v>
      </c>
      <c r="B23" s="29"/>
      <c r="C23" s="3">
        <v>65</v>
      </c>
      <c r="D23" s="29"/>
      <c r="E23" s="3">
        <v>115</v>
      </c>
      <c r="F23" s="30"/>
      <c r="J23" s="12" t="s">
        <v>27</v>
      </c>
      <c r="K23" s="13"/>
      <c r="L23" s="13"/>
      <c r="M23" s="13"/>
      <c r="N23" s="13"/>
      <c r="O23" s="13"/>
      <c r="P23" s="13"/>
      <c r="Q23" s="13"/>
      <c r="R23" s="13"/>
    </row>
    <row r="24" spans="1:18" x14ac:dyDescent="0.3">
      <c r="A24" s="3">
        <v>16</v>
      </c>
      <c r="B24" s="29"/>
      <c r="C24" s="3">
        <v>66</v>
      </c>
      <c r="D24" s="29"/>
      <c r="E24" s="3">
        <v>116</v>
      </c>
      <c r="F24" s="30"/>
      <c r="J24" s="21" t="s">
        <v>28</v>
      </c>
      <c r="K24" s="7"/>
      <c r="L24" s="7"/>
      <c r="M24" s="7"/>
      <c r="N24" s="15">
        <f>COUNT(B9:B58,D9:D58,F9:F33)</f>
      </c>
      <c r="O24" s="5"/>
      <c r="P24" s="5"/>
      <c r="Q24" s="5"/>
      <c r="R24" s="5"/>
    </row>
    <row r="25" spans="1:18" x14ac:dyDescent="0.3">
      <c r="A25" s="3">
        <v>17</v>
      </c>
      <c r="B25" s="30"/>
      <c r="C25" s="3">
        <v>67</v>
      </c>
      <c r="D25" s="30"/>
      <c r="E25" s="3">
        <v>117</v>
      </c>
      <c r="F25" s="30"/>
      <c r="J25" s="21" t="s">
        <v>29</v>
      </c>
      <c r="K25" s="7"/>
      <c r="L25" s="7"/>
      <c r="M25" s="7"/>
      <c r="N25" s="9">
        <f>IF($N$24=0,"",AVERAGE(B9:B58,D9:D58,F9:F33))</f>
      </c>
      <c r="O25" s="5"/>
      <c r="P25" s="5"/>
      <c r="Q25" s="5"/>
      <c r="R25" s="5"/>
    </row>
    <row r="26" spans="1:18" x14ac:dyDescent="0.3">
      <c r="A26" s="3">
        <v>18</v>
      </c>
      <c r="B26" s="30"/>
      <c r="C26" s="3">
        <v>68</v>
      </c>
      <c r="D26" s="30"/>
      <c r="E26" s="3">
        <v>118</v>
      </c>
      <c r="F26" s="30"/>
      <c r="J26" s="21" t="s">
        <v>30</v>
      </c>
      <c r="K26" s="7"/>
      <c r="L26" s="7"/>
      <c r="M26" s="7"/>
      <c r="N26" s="9">
        <f>IF($N$24=0,"",MEDIAN(B9:B58,D9:D58,F9:F33))</f>
      </c>
      <c r="O26" s="5"/>
      <c r="P26" s="5"/>
      <c r="Q26" s="5"/>
      <c r="R26" s="5"/>
    </row>
    <row r="27" spans="1:18" x14ac:dyDescent="0.3">
      <c r="A27" s="3">
        <v>19</v>
      </c>
      <c r="B27" s="30"/>
      <c r="C27" s="3">
        <v>69</v>
      </c>
      <c r="D27" s="30"/>
      <c r="E27" s="3">
        <v>119</v>
      </c>
      <c r="F27" s="30"/>
      <c r="J27" s="21" t="s">
        <v>31</v>
      </c>
      <c r="K27" s="7"/>
      <c r="L27" s="7"/>
      <c r="M27" s="7"/>
      <c r="N27" s="9">
        <f>IF($N$24=0,"",MIN(B9:B58,D9:D58,F9:F33))</f>
      </c>
      <c r="O27" s="5"/>
      <c r="P27" s="5"/>
      <c r="Q27" s="5"/>
      <c r="R27" s="5"/>
    </row>
    <row r="28" spans="1:18" x14ac:dyDescent="0.3">
      <c r="A28" s="3">
        <v>20</v>
      </c>
      <c r="B28" s="30"/>
      <c r="C28" s="3">
        <v>70</v>
      </c>
      <c r="D28" s="30"/>
      <c r="E28" s="3">
        <v>120</v>
      </c>
      <c r="F28" s="30"/>
      <c r="J28" s="21" t="s">
        <v>32</v>
      </c>
      <c r="K28" s="7"/>
      <c r="L28" s="7"/>
      <c r="M28" s="7"/>
      <c r="N28" s="9">
        <f>IF($N$24=0,"",MAX(B9:B58,D9:D58,F9:F33))</f>
      </c>
      <c r="O28" s="5"/>
      <c r="P28" s="5"/>
      <c r="Q28" s="5"/>
      <c r="R28" s="5"/>
    </row>
    <row r="29" spans="1:18" x14ac:dyDescent="0.3">
      <c r="A29" s="3">
        <v>21</v>
      </c>
      <c r="B29" s="30"/>
      <c r="C29" s="3">
        <v>71</v>
      </c>
      <c r="D29" s="30"/>
      <c r="E29" s="3">
        <v>121</v>
      </c>
      <c r="F29" s="30"/>
      <c r="J29" s="21" t="s">
        <v>33</v>
      </c>
      <c r="K29" s="7"/>
      <c r="L29" s="7"/>
      <c r="M29" s="7"/>
      <c r="N29" s="9">
        <f>IF($N$24=0,"",MAX(B9:B58,D9:D58,F9:F33)-MIN(B9:B58,D9:D58,F9:F33))</f>
      </c>
      <c r="O29" s="5"/>
      <c r="P29" s="5"/>
      <c r="Q29" s="5"/>
      <c r="R29" s="5"/>
    </row>
    <row r="30" spans="1:18" x14ac:dyDescent="0.3">
      <c r="A30" s="3">
        <v>22</v>
      </c>
      <c r="B30" s="30"/>
      <c r="C30" s="3">
        <v>72</v>
      </c>
      <c r="D30" s="30"/>
      <c r="E30" s="3">
        <v>122</v>
      </c>
      <c r="F30" s="30"/>
      <c r="J30" s="21" t="s">
        <v>34</v>
      </c>
      <c r="K30" s="7"/>
      <c r="L30" s="7"/>
      <c r="M30" s="7"/>
      <c r="N30" s="27">
        <f>IF($N$24&lt;2,"",STDEV(B9:B58,D9:D58,F9:F33))</f>
      </c>
      <c r="O30" s="5"/>
      <c r="P30" s="5"/>
      <c r="Q30" s="5"/>
      <c r="R30" s="5"/>
    </row>
    <row r="31" spans="1:18" x14ac:dyDescent="0.3">
      <c r="A31" s="3">
        <v>23</v>
      </c>
      <c r="B31" s="30"/>
      <c r="C31" s="3">
        <v>73</v>
      </c>
      <c r="D31" s="30"/>
      <c r="E31" s="3">
        <v>123</v>
      </c>
      <c r="F31" s="30"/>
      <c r="J31" s="16" t="s">
        <v>35</v>
      </c>
      <c r="K31" s="17"/>
      <c r="L31" s="17"/>
      <c r="M31" s="17"/>
      <c r="N31" s="11">
        <f>IF(veri!$AK$1="","yetersiz veri (n&lt;8)","A² = "&amp;ROUND(veri!$AK$1,3)&amp;" · kritik %5 = 0.752")</f>
      </c>
      <c r="O31" s="5"/>
      <c r="P31" s="5"/>
      <c r="Q31" s="5"/>
      <c r="R31" s="5"/>
    </row>
    <row r="32" spans="1:18" x14ac:dyDescent="0.3">
      <c r="A32" s="3">
        <v>24</v>
      </c>
      <c r="B32" s="30"/>
      <c r="C32" s="3">
        <v>74</v>
      </c>
      <c r="D32" s="30"/>
      <c r="E32" s="3">
        <v>124</v>
      </c>
      <c r="F32" s="30"/>
      <c r="J32" s="16" t="s">
        <v>36</v>
      </c>
      <c r="K32" s="17"/>
      <c r="L32" s="17"/>
      <c r="M32" s="17"/>
      <c r="N32" s="11">
        <f>IF(veri!$AK$1="","—",IF(veri!$AK$1&lt;=0.752,"normal","normal DEĞİL"))</f>
      </c>
      <c r="O32" s="5"/>
      <c r="P32" s="5"/>
      <c r="Q32" s="5"/>
      <c r="R32" s="5"/>
    </row>
    <row r="33" spans="1:18" x14ac:dyDescent="0.3">
      <c r="A33" s="3">
        <v>25</v>
      </c>
      <c r="B33" s="30"/>
      <c r="C33" s="3">
        <v>75</v>
      </c>
      <c r="D33" s="30"/>
      <c r="E33" s="3">
        <v>125</v>
      </c>
      <c r="F33" s="30"/>
    </row>
    <row r="34" spans="1:18" x14ac:dyDescent="0.3">
      <c r="A34" s="3">
        <v>26</v>
      </c>
      <c r="B34" s="30"/>
      <c r="C34" s="3">
        <v>76</v>
      </c>
      <c r="D34" s="30"/>
      <c r="J34" s="12" t="s">
        <v>37</v>
      </c>
      <c r="K34" s="13"/>
      <c r="L34" s="13"/>
      <c r="M34" s="13"/>
      <c r="N34" s="13"/>
      <c r="O34" s="13"/>
      <c r="P34" s="13"/>
      <c r="Q34" s="13"/>
      <c r="R34" s="13"/>
    </row>
    <row r="35" spans="1:18" x14ac:dyDescent="0.3">
      <c r="A35" s="3">
        <v>27</v>
      </c>
      <c r="B35" s="30"/>
      <c r="C35" s="3">
        <v>77</v>
      </c>
      <c r="D35" s="30"/>
      <c r="J35" s="21" t="s">
        <v>38</v>
      </c>
      <c r="K35" s="7"/>
      <c r="L35" s="7"/>
      <c r="M35" s="7"/>
      <c r="N35" s="14">
        <f>IF($N$24=0,"",IF($N$30=0,"",IF($N$32="normal",($N$25-$N$19)/(3*$N$30),IF((MEDIAN(veri!$B$2:$B$126)-PERCENTILE(veri!$B$2:$B$126,0.00135))&lt;=0,"",(MEDIAN(veri!$B$2:$B$126)-$N$19)/(MEDIAN(veri!$B$2:$B$126)-PERCENTILE(veri!$B$2:$B$126,0.00135))))))</f>
      </c>
      <c r="O35" s="5"/>
      <c r="P35" s="5"/>
      <c r="Q35" s="5"/>
      <c r="R35" s="5"/>
    </row>
    <row r="36" spans="1:18" x14ac:dyDescent="0.3">
      <c r="A36" s="3">
        <v>28</v>
      </c>
      <c r="B36" s="30"/>
      <c r="C36" s="3">
        <v>78</v>
      </c>
      <c r="D36" s="30"/>
      <c r="J36" s="21" t="s">
        <v>39</v>
      </c>
      <c r="K36" s="7"/>
      <c r="L36" s="7"/>
      <c r="M36" s="7"/>
      <c r="N36" s="14">
        <f>IF($N$24=0,"",IF($N$30=0,"",IF($N$32="normal",($N$20-$N$25)/(3*$N$30),IF((PERCENTILE(veri!$B$2:$B$126,0.99865)-MEDIAN(veri!$B$2:$B$126))&lt;=0,"",($N$20-MEDIAN(veri!$B$2:$B$126))/(PERCENTILE(veri!$B$2:$B$126,0.99865)-MEDIAN(veri!$B$2:$B$126))))))</f>
      </c>
      <c r="O36" s="5"/>
      <c r="P36" s="5"/>
      <c r="Q36" s="5"/>
      <c r="R36" s="5"/>
    </row>
    <row r="37" spans="1:18" x14ac:dyDescent="0.3">
      <c r="A37" s="3">
        <v>29</v>
      </c>
      <c r="B37" s="30"/>
      <c r="C37" s="3">
        <v>79</v>
      </c>
      <c r="D37" s="30"/>
      <c r="J37" s="20" t="s">
        <v>40</v>
      </c>
      <c r="K37" s="7"/>
      <c r="L37" s="7"/>
      <c r="M37" s="7"/>
      <c r="N37" s="10">
        <f>IF($N$24=0,"",IF($N$30=0,"",IF($N$32="normal",($N$20-$N$19)/(6*$N$30),IF((PERCENTILE(veri!$B$2:$B$126,0.99865)-PERCENTILE(veri!$B$2:$B$126,0.00135))&lt;=0,"",($N$20-$N$19)/(PERCENTILE(veri!$B$2:$B$126,0.99865)-PERCENTILE(veri!$B$2:$B$126,0.00135))))))</f>
      </c>
      <c r="O37" s="5"/>
      <c r="P37" s="5"/>
      <c r="Q37" s="5"/>
      <c r="R37" s="5"/>
    </row>
    <row r="38" spans="1:18" x14ac:dyDescent="0.3">
      <c r="A38" s="3">
        <v>30</v>
      </c>
      <c r="B38" s="30"/>
      <c r="C38" s="3">
        <v>80</v>
      </c>
      <c r="D38" s="30"/>
      <c r="J38" s="20" t="s">
        <v>41</v>
      </c>
      <c r="K38" s="7"/>
      <c r="L38" s="7"/>
      <c r="M38" s="7"/>
      <c r="N38" s="10">
        <f>IF(AND($N$35="",$N$36=""),"",IF($N$35="",$N$36,IF($N$36="",$N$35,MIN($N$35,$N$36))))</f>
      </c>
      <c r="O38" s="5"/>
      <c r="P38" s="5"/>
      <c r="Q38" s="5"/>
      <c r="R38" s="5"/>
    </row>
    <row r="39" spans="1:18" x14ac:dyDescent="0.3">
      <c r="A39" s="3">
        <v>31</v>
      </c>
      <c r="B39" s="30"/>
      <c r="C39" s="3">
        <v>81</v>
      </c>
      <c r="D39" s="30"/>
      <c r="J39" s="21" t="s">
        <v>42</v>
      </c>
      <c r="K39" s="7"/>
      <c r="L39" s="7"/>
      <c r="M39" s="7"/>
      <c r="N39" s="14">
        <f>$N$37</f>
      </c>
      <c r="O39" s="5"/>
      <c r="P39" s="5"/>
      <c r="Q39" s="5"/>
      <c r="R39" s="5"/>
    </row>
    <row r="40" spans="1:18" x14ac:dyDescent="0.3">
      <c r="A40" s="3">
        <v>32</v>
      </c>
      <c r="B40" s="30"/>
      <c r="C40" s="3">
        <v>82</v>
      </c>
      <c r="D40" s="30"/>
      <c r="J40" s="21" t="s">
        <v>43</v>
      </c>
      <c r="K40" s="7"/>
      <c r="L40" s="7"/>
      <c r="M40" s="7"/>
      <c r="N40" s="14">
        <f>$N$38</f>
      </c>
      <c r="O40" s="5"/>
      <c r="P40" s="5"/>
      <c r="Q40" s="5"/>
      <c r="R40" s="5"/>
    </row>
    <row r="41" spans="1:18" x14ac:dyDescent="0.3">
      <c r="A41" s="3">
        <v>33</v>
      </c>
      <c r="B41" s="30"/>
      <c r="C41" s="3">
        <v>83</v>
      </c>
      <c r="D41" s="30"/>
      <c r="J41" s="8" t="s">
        <v>44</v>
      </c>
      <c r="K41" s="7"/>
      <c r="L41" s="7"/>
      <c r="M41" s="7"/>
      <c r="N41" s="11">
        <f>IF($N$32="normal","normal dağılım (Cp/Cpk = 6s)","yüzdelik (ISO 22514-2) — dağılım normal değil")</f>
      </c>
      <c r="O41" s="5"/>
      <c r="P41" s="5"/>
      <c r="Q41" s="5"/>
      <c r="R41" s="5"/>
    </row>
    <row r="42" spans="1:18" x14ac:dyDescent="0.3">
      <c r="A42" s="3">
        <v>34</v>
      </c>
      <c r="B42" s="30"/>
      <c r="C42" s="3">
        <v>84</v>
      </c>
      <c r="D42" s="30"/>
    </row>
    <row r="43" spans="1:18" ht="19.95" customHeight="1" x14ac:dyDescent="0.3">
      <c r="A43" s="3">
        <v>35</v>
      </c>
      <c r="B43" s="30"/>
      <c r="C43" s="3">
        <v>85</v>
      </c>
      <c r="D43" s="30"/>
      <c r="J43" s="24">
        <f>"DEĞERLENDİRME:  "&amp;IF($N$38="","—",IF($N$38&gt;=1.67,"YETERLİ",IF($N$38&gt;=1.33,"ŞARTLI KABUL","YETERSİZ")))&amp;"  (Cpk = "&amp;IF($N$38="","—",ROUND($N$38,2))&amp;")"</f>
      </c>
      <c r="K43" s="25"/>
      <c r="L43" s="25"/>
      <c r="M43" s="25"/>
      <c r="N43" s="25"/>
      <c r="O43" s="25"/>
      <c r="P43" s="25"/>
      <c r="Q43" s="25"/>
      <c r="R43" s="25"/>
    </row>
    <row r="44" spans="1:18" x14ac:dyDescent="0.3">
      <c r="A44" s="3">
        <v>36</v>
      </c>
      <c r="B44" s="30"/>
      <c r="C44" s="3">
        <v>86</v>
      </c>
      <c r="D44" s="30"/>
    </row>
    <row r="45" spans="1:18" x14ac:dyDescent="0.3">
      <c r="A45" s="3">
        <v>37</v>
      </c>
      <c r="B45" s="30"/>
      <c r="C45" s="3">
        <v>87</v>
      </c>
      <c r="D45" s="30"/>
      <c r="J45" s="12" t="s">
        <v>45</v>
      </c>
      <c r="K45" s="13"/>
      <c r="L45" s="13"/>
      <c r="M45" s="13"/>
      <c r="N45" s="13"/>
      <c r="O45" s="13"/>
      <c r="P45" s="13"/>
      <c r="Q45" s="13"/>
      <c r="R45" s="13"/>
    </row>
    <row r="46" spans="1:18" x14ac:dyDescent="0.3">
      <c r="A46" s="3">
        <v>38</v>
      </c>
      <c r="B46" s="30"/>
      <c r="C46" s="3">
        <v>88</v>
      </c>
      <c r="D46" s="30"/>
      <c r="J46" s="8" t="s">
        <v>46</v>
      </c>
      <c r="K46" s="7"/>
      <c r="L46" s="7"/>
      <c r="M46" s="7"/>
      <c r="N46" s="4">
        <f>IF($N$30=0,"",NORMSDIST(($N$19-$N$25)/$N$30)*1000000)</f>
      </c>
      <c r="O46" s="5"/>
      <c r="P46" s="5"/>
      <c r="Q46" s="5"/>
      <c r="R46" s="5"/>
    </row>
    <row r="47" spans="1:18" x14ac:dyDescent="0.3">
      <c r="A47" s="3">
        <v>39</v>
      </c>
      <c r="B47" s="30"/>
      <c r="C47" s="3">
        <v>89</v>
      </c>
      <c r="D47" s="30"/>
      <c r="J47" s="8" t="s">
        <v>47</v>
      </c>
      <c r="K47" s="7"/>
      <c r="L47" s="7"/>
      <c r="M47" s="7"/>
      <c r="N47" s="4">
        <f>IF($N$30=0,"",(1-NORMSDIST(($N$20-$N$25)/$N$30))*1000000)</f>
      </c>
      <c r="O47" s="5"/>
      <c r="P47" s="5"/>
      <c r="Q47" s="5"/>
      <c r="R47" s="5"/>
    </row>
    <row r="48" spans="1:18" x14ac:dyDescent="0.3">
      <c r="A48" s="3">
        <v>40</v>
      </c>
      <c r="B48" s="30"/>
      <c r="C48" s="3">
        <v>90</v>
      </c>
      <c r="D48" s="30"/>
      <c r="J48" s="8" t="s">
        <v>48</v>
      </c>
      <c r="K48" s="7"/>
      <c r="L48" s="7"/>
      <c r="M48" s="7"/>
      <c r="N48" s="4">
        <f>IF($N$46="","",$N$46+$N$47)</f>
      </c>
      <c r="O48" s="5"/>
      <c r="P48" s="5"/>
      <c r="Q48" s="5"/>
      <c r="R48" s="5"/>
    </row>
    <row r="49" spans="1:18" x14ac:dyDescent="0.3">
      <c r="A49" s="3">
        <v>41</v>
      </c>
      <c r="B49" s="30"/>
      <c r="C49" s="3">
        <v>91</v>
      </c>
      <c r="D49" s="30"/>
      <c r="J49" s="8" t="s">
        <v>49</v>
      </c>
      <c r="K49" s="7"/>
      <c r="L49" s="7"/>
      <c r="M49" s="7"/>
      <c r="N49" s="4">
        <f>IF($N$24=0,"",(COUNTIF(veri!$B$2:$B$126,"&lt;"&amp;$N$19)+COUNTIF(veri!$B$2:$B$126,"&gt;"&amp;$N$20))/$N$24*1000000)</f>
      </c>
      <c r="O49" s="5"/>
      <c r="P49" s="5"/>
      <c r="Q49" s="5"/>
      <c r="R49" s="5"/>
    </row>
    <row r="50" spans="1:18" x14ac:dyDescent="0.3">
      <c r="A50" s="3">
        <v>42</v>
      </c>
      <c r="B50" s="30"/>
      <c r="C50" s="3">
        <v>92</v>
      </c>
      <c r="D50" s="30"/>
    </row>
    <row r="51" spans="1:18" x14ac:dyDescent="0.3">
      <c r="A51" s="3">
        <v>43</v>
      </c>
      <c r="B51" s="30"/>
      <c r="C51" s="3">
        <v>93</v>
      </c>
      <c r="D51" s="30"/>
      <c r="J51" s="22" t="s">
        <v>50</v>
      </c>
      <c r="K51" s="23"/>
      <c r="L51" s="23"/>
      <c r="M51" s="23"/>
      <c r="N51" s="23"/>
      <c r="O51" s="23"/>
      <c r="P51" s="23"/>
      <c r="Q51" s="23"/>
      <c r="R51" s="23"/>
    </row>
    <row r="52" spans="1:18" x14ac:dyDescent="0.3">
      <c r="A52" s="3">
        <v>44</v>
      </c>
      <c r="B52" s="30"/>
      <c r="C52" s="3">
        <v>94</v>
      </c>
      <c r="D52" s="30"/>
    </row>
    <row r="53" spans="1:18" x14ac:dyDescent="0.3">
      <c r="A53" s="3">
        <v>45</v>
      </c>
      <c r="B53" s="30"/>
      <c r="C53" s="3">
        <v>95</v>
      </c>
      <c r="D53" s="30"/>
    </row>
    <row r="54" spans="1:18" x14ac:dyDescent="0.3">
      <c r="A54" s="3">
        <v>46</v>
      </c>
      <c r="B54" s="30"/>
      <c r="C54" s="3">
        <v>96</v>
      </c>
      <c r="D54" s="30"/>
    </row>
    <row r="55" spans="1:18" x14ac:dyDescent="0.3">
      <c r="A55" s="3">
        <v>47</v>
      </c>
      <c r="B55" s="30"/>
      <c r="C55" s="3">
        <v>97</v>
      </c>
      <c r="D55" s="30"/>
    </row>
    <row r="56" spans="1:18" x14ac:dyDescent="0.3">
      <c r="A56" s="3">
        <v>48</v>
      </c>
      <c r="B56" s="30"/>
      <c r="C56" s="3">
        <v>98</v>
      </c>
      <c r="D56" s="30"/>
    </row>
    <row r="57" spans="1:18" x14ac:dyDescent="0.3">
      <c r="A57" s="3">
        <v>49</v>
      </c>
      <c r="B57" s="30"/>
      <c r="C57" s="3">
        <v>99</v>
      </c>
      <c r="D57" s="30"/>
    </row>
    <row r="58" spans="1:18" x14ac:dyDescent="0.3">
      <c r="A58" s="3">
        <v>50</v>
      </c>
      <c r="B58" s="30"/>
      <c r="C58" s="3">
        <v>100</v>
      </c>
      <c r="D58" s="30"/>
    </row>
    <row r="59" spans="1:18" x14ac:dyDescent="0.3">
      <c r="B59" s="30"/>
      <c r="D59" s="30"/>
    </row>
    <row r="60" spans="1:18" x14ac:dyDescent="0.3">
      <c r="B60" s="30"/>
      <c r="D60" s="30"/>
    </row>
    <row r="61" spans="1:18" x14ac:dyDescent="0.3">
      <c r="B61" s="30"/>
      <c r="D61" s="30"/>
    </row>
    <row r="62" spans="1:18" x14ac:dyDescent="0.3">
      <c r="B62" s="30"/>
      <c r="D62" s="30"/>
    </row>
    <row r="63" spans="1:18" x14ac:dyDescent="0.3">
      <c r="B63" s="30"/>
      <c r="D63" s="30"/>
    </row>
    <row r="64" spans="1:18" x14ac:dyDescent="0.3">
      <c r="B64" s="30"/>
      <c r="D64" s="30"/>
    </row>
    <row r="65" spans="2:4" x14ac:dyDescent="0.3">
      <c r="B65" s="30"/>
      <c r="D65" s="30"/>
    </row>
    <row r="66" spans="2:4" x14ac:dyDescent="0.3">
      <c r="B66" s="30"/>
      <c r="D66" s="30"/>
    </row>
    <row r="67" spans="2:4" x14ac:dyDescent="0.3">
      <c r="B67" s="30"/>
      <c r="D67" s="30"/>
    </row>
    <row r="68" spans="2:4" x14ac:dyDescent="0.3">
      <c r="B68" s="30"/>
      <c r="D68" s="30"/>
    </row>
    <row r="69" spans="2:4" x14ac:dyDescent="0.3">
      <c r="B69" s="30"/>
      <c r="D69" s="30"/>
    </row>
    <row r="70" spans="2:4" x14ac:dyDescent="0.3">
      <c r="B70" s="30"/>
      <c r="D70" s="30"/>
    </row>
    <row r="71" spans="2:4" x14ac:dyDescent="0.3">
      <c r="B71" s="30"/>
      <c r="D71" s="30"/>
    </row>
    <row r="72" spans="2:4" x14ac:dyDescent="0.3">
      <c r="B72" s="30"/>
      <c r="D72" s="30"/>
    </row>
    <row r="73" spans="2:4" x14ac:dyDescent="0.3">
      <c r="B73" s="30"/>
      <c r="D73" s="30"/>
    </row>
    <row r="74" spans="2:4" x14ac:dyDescent="0.3">
      <c r="B74" s="30"/>
      <c r="D74" s="30"/>
    </row>
  </sheetData>
  <mergeCells count="82">
    <mergeCell ref="N41:R41"/>
    <mergeCell ref="J45:R45"/>
    <mergeCell ref="J18:M18"/>
    <mergeCell ref="AK1:AM1"/>
    <mergeCell ref="J19:M19"/>
    <mergeCell ref="J28:M28"/>
    <mergeCell ref="J9:M9"/>
    <mergeCell ref="J23:R23"/>
    <mergeCell ref="N28:R28"/>
    <mergeCell ref="J30:M30"/>
    <mergeCell ref="AN3:AS3"/>
    <mergeCell ref="N30:R30"/>
    <mergeCell ref="AK3:AM3"/>
    <mergeCell ref="J34:R34"/>
    <mergeCell ref="J1:AJ5"/>
    <mergeCell ref="AK4:AM4"/>
    <mergeCell ref="AN1:AS1"/>
    <mergeCell ref="AN2:AS2"/>
    <mergeCell ref="AN4:AS4"/>
    <mergeCell ref="N26:R26"/>
    <mergeCell ref="J47:M47"/>
    <mergeCell ref="N32:R32"/>
    <mergeCell ref="A7:H7"/>
    <mergeCell ref="J8:M8"/>
    <mergeCell ref="N18:R18"/>
    <mergeCell ref="N8:R8"/>
    <mergeCell ref="J10:M10"/>
    <mergeCell ref="N9:R9"/>
    <mergeCell ref="N37:R37"/>
    <mergeCell ref="N12:R12"/>
    <mergeCell ref="N46:R46"/>
    <mergeCell ref="J14:M14"/>
    <mergeCell ref="J29:M29"/>
    <mergeCell ref="J37:M37"/>
    <mergeCell ref="N39:R39"/>
    <mergeCell ref="J43:R43"/>
    <mergeCell ref="J51:R51"/>
    <mergeCell ref="N10:R10"/>
    <mergeCell ref="N19:R19"/>
    <mergeCell ref="J49:M49"/>
    <mergeCell ref="J27:M27"/>
    <mergeCell ref="J36:M36"/>
    <mergeCell ref="J11:M11"/>
    <mergeCell ref="J20:M20"/>
    <mergeCell ref="N49:R49"/>
    <mergeCell ref="N36:R36"/>
    <mergeCell ref="N20:R20"/>
    <mergeCell ref="J31:M31"/>
    <mergeCell ref="N47:R47"/>
    <mergeCell ref="J12:M12"/>
    <mergeCell ref="J46:M46"/>
    <mergeCell ref="J21:M21"/>
    <mergeCell ref="A1:H5"/>
    <mergeCell ref="J38:M38"/>
    <mergeCell ref="N14:R14"/>
    <mergeCell ref="J40:M40"/>
    <mergeCell ref="J24:M24"/>
    <mergeCell ref="J26:M26"/>
    <mergeCell ref="J35:M35"/>
    <mergeCell ref="J25:M25"/>
    <mergeCell ref="N27:R27"/>
    <mergeCell ref="N35:R35"/>
    <mergeCell ref="N11:R11"/>
    <mergeCell ref="N25:R25"/>
    <mergeCell ref="J7:R7"/>
    <mergeCell ref="J39:M39"/>
    <mergeCell ref="N48:R48"/>
    <mergeCell ref="AK2:AM2"/>
    <mergeCell ref="J13:M13"/>
    <mergeCell ref="N29:R29"/>
    <mergeCell ref="N38:R38"/>
    <mergeCell ref="N13:R13"/>
    <mergeCell ref="J15:M15"/>
    <mergeCell ref="J17:R17"/>
    <mergeCell ref="N31:R31"/>
    <mergeCell ref="N40:R40"/>
    <mergeCell ref="N15:R15"/>
    <mergeCell ref="N24:R24"/>
    <mergeCell ref="J32:M32"/>
    <mergeCell ref="J41:M41"/>
    <mergeCell ref="J48:M48"/>
    <mergeCell ref="N21:R21"/>
  </mergeCells>
  <pageMargins left="0.75" right="0.75" top="1" bottom="1" header="0.5" footer="0.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26"/>
  <sheetViews>
    <sheetView workbookViewId="0"/>
  </sheetViews>
  <sheetFormatPr defaultRowHeight="14.4" x14ac:dyDescent="0.3"/>
  <sheetData>
    <row r="1" spans="1:54" x14ac:dyDescent="0.3">
      <c r="AD1">
        <f>IF(Yeterlilik!$N$24=0,Yeterlilik!$N$19,MIN(MIN($B$2:$B$126),Yeterlilik!$N$19))</f>
      </c>
      <c r="AE1">
        <f>IF(Yeterlilik!$N$24=0,Yeterlilik!$N$20,MAX(MAX($B$2:$B$126),Yeterlilik!$N$20))</f>
      </c>
      <c r="AF1">
        <f>($AE$1-$AD$1)/15</f>
      </c>
      <c r="AK1">
        <f>IF(Yeterlilik!$N$24&lt;8,"",(-Yeterlilik!$N$24-SUM($AI$2:$AI$126)/Yeterlilik!$N$24)*(1+0.75/Yeterlilik!$N$24+2.25/Yeterlilik!$N$24^2))</f>
      </c>
      <c r="AM1">
        <f>(Yeterlilik!$N$19+Yeterlilik!$N$20)/2</f>
      </c>
    </row>
    <row r="2" spans="1:54" x14ac:dyDescent="0.3">
      <c r="A2">
        <f>IF(B2="","",1)</f>
      </c>
      <c r="B2">
        <f>IF(Yeterlilik!$B$9="","",Yeterlilik!$B$9)</f>
      </c>
      <c r="D2">
        <f>1</f>
      </c>
      <c r="E2">
        <f>Yeterlilik!$N$19</f>
      </c>
      <c r="F2">
        <f>Yeterlilik!$N$20</f>
      </c>
      <c r="G2">
        <f>Yeterlilik!$N$25</f>
      </c>
      <c r="H2">
        <f>Yeterlilik!$N$25-3*Yeterlilik!$N$30</f>
      </c>
      <c r="I2">
        <f>Yeterlilik!$N$25+3*Yeterlilik!$N$30</f>
      </c>
      <c r="K2">
        <f>$AD$1+0*$AF$1</f>
      </c>
      <c r="L2">
        <f>0</f>
      </c>
      <c r="N2">
        <f>$AD$1+0*(($AE$1-$AD$1)/119)</f>
      </c>
      <c r="O2">
        <f>IF(Yeterlilik!$N$30=0,0,Yeterlilik!$N$24*$AF$1*NORMDIST(N2,Yeterlilik!$N$25,Yeterlilik!$N$30,FALSE))</f>
      </c>
      <c r="Q2">
        <f>0</f>
      </c>
      <c r="R2">
        <f>Yeterlilik!$N$19</f>
      </c>
      <c r="S2">
        <f>Yeterlilik!$N$20</f>
      </c>
      <c r="T2">
        <f>Yeterlilik!$N$18</f>
      </c>
      <c r="U2">
        <f>Yeterlilik!$N$25-3*Yeterlilik!$N$30</f>
      </c>
      <c r="V2">
        <f>Yeterlilik!$N$25+3*Yeterlilik!$N$30</f>
      </c>
      <c r="X2">
        <f>IF(1&gt;Yeterlilik!$N$24,"",SMALL($B$2:$B$126,1))</f>
      </c>
      <c r="Y2">
        <f>IF(X2="","",NORMSINV((1-0.375)/(Yeterlilik!$N$24+0.25)))</f>
      </c>
      <c r="AA2">
        <f>Yeterlilik!$N$25-3*Yeterlilik!$N$30</f>
      </c>
      <c r="AB2">
        <f>-3</f>
      </c>
      <c r="AH2">
        <f>IF(X2="","",NORMSDIST((X2-Yeterlilik!$N$25)/Yeterlilik!$N$30))</f>
      </c>
      <c r="AI2">
        <f>IF(OR(X2="",AH2&lt;=0,AH2&gt;=1),0,(1*2-1)*(LN(AH2)+LN(1-INDEX($AH$2:$AH$126,Yeterlilik!$N$24+1-1))))</f>
      </c>
      <c r="AM2">
        <f t="shared" ref="AM2:AM33" si="0">IF(B2="",NA(),B2-$AM$1)</f>
      </c>
      <c r="AN2">
        <f t="shared" ref="AN2:AR3" si="1">E2-$AM$1</f>
      </c>
      <c r="AO2">
        <f t="shared" si="1"/>
      </c>
      <c r="AP2">
        <f t="shared" si="1"/>
      </c>
      <c r="AQ2">
        <f t="shared" si="1"/>
      </c>
      <c r="AR2">
        <f t="shared" si="1"/>
      </c>
      <c r="AS2">
        <f t="shared" ref="AS2:AS47" si="2">K2-$AM$1</f>
      </c>
      <c r="AT2">
        <f t="shared" ref="AT2:AT33" si="3">N2-$AM$1</f>
      </c>
      <c r="AU2">
        <f>R2-$AM$1</f>
      </c>
      <c r="AV2">
        <f>S2-$AM$1</f>
      </c>
      <c r="AW2">
        <f>IF(Yeterlilik!$N$18="",NA(),T2-$AM$1)</f>
      </c>
      <c r="AX2">
        <f>U2-$AM$1</f>
      </c>
      <c r="AY2">
        <f>V2-$AM$1</f>
      </c>
      <c r="AZ2">
        <f t="shared" ref="AZ2:AZ33" si="4">IF(X2="",NA(),X2-$AM$1)</f>
      </c>
      <c r="BA2">
        <f>AA2-$AM$1</f>
      </c>
      <c r="BB2">
        <f t="shared" ref="BB2:BB33" si="5">IF(Y2="",NA(),Y2)</f>
      </c>
    </row>
    <row r="3" spans="1:54" x14ac:dyDescent="0.3">
      <c r="A3">
        <f>IF(B3="","",2)</f>
      </c>
      <c r="B3">
        <f>IF(Yeterlilik!$B$10="","",Yeterlilik!$B$10)</f>
      </c>
      <c r="D3">
        <f>125</f>
      </c>
      <c r="E3">
        <f>Yeterlilik!$N$19</f>
      </c>
      <c r="F3">
        <f>Yeterlilik!$N$20</f>
      </c>
      <c r="G3">
        <f>Yeterlilik!$N$25</f>
      </c>
      <c r="H3">
        <f>Yeterlilik!$N$25-3*Yeterlilik!$N$30</f>
      </c>
      <c r="I3">
        <f>Yeterlilik!$N$25+3*Yeterlilik!$N$30</f>
      </c>
      <c r="K3">
        <f>$AD$1+0*$AF$1</f>
      </c>
      <c r="L3">
        <f>COUNTIFS($B$2:$B$126,"&gt;="&amp;$AD$1+0*$AF$1,$B$2:$B$126,"&lt;"&amp;$AD$1+1*$AF$1)</f>
      </c>
      <c r="N3">
        <f>$AD$1+1*(($AE$1-$AD$1)/119)</f>
      </c>
      <c r="O3">
        <f>IF(Yeterlilik!$N$30=0,0,Yeterlilik!$N$24*$AF$1*NORMDIST(N3,Yeterlilik!$N$25,Yeterlilik!$N$30,FALSE))</f>
      </c>
      <c r="Q3">
        <f>_xlfn.AGGREGATE(4,6,$L$2:$L$47)*1.1</f>
      </c>
      <c r="R3">
        <f>Yeterlilik!$N$19</f>
      </c>
      <c r="S3">
        <f>Yeterlilik!$N$20</f>
      </c>
      <c r="T3">
        <f>Yeterlilik!$N$18</f>
      </c>
      <c r="U3">
        <f>Yeterlilik!$N$25-3*Yeterlilik!$N$30</f>
      </c>
      <c r="V3">
        <f>Yeterlilik!$N$25+3*Yeterlilik!$N$30</f>
      </c>
      <c r="X3">
        <f>IF(2&gt;Yeterlilik!$N$24,"",SMALL($B$2:$B$126,2))</f>
      </c>
      <c r="Y3">
        <f>IF(X3="","",NORMSINV((2-0.375)/(Yeterlilik!$N$24+0.25)))</f>
      </c>
      <c r="AA3">
        <f>Yeterlilik!$N$25+3*Yeterlilik!$N$30</f>
      </c>
      <c r="AB3">
        <f>3</f>
      </c>
      <c r="AH3">
        <f>IF(X3="","",NORMSDIST((X3-Yeterlilik!$N$25)/Yeterlilik!$N$30))</f>
      </c>
      <c r="AI3">
        <f>IF(OR(X3="",AH3&lt;=0,AH3&gt;=1),0,(2*2-1)*(LN(AH3)+LN(1-INDEX($AH$2:$AH$126,Yeterlilik!$N$24+1-2))))</f>
      </c>
      <c r="AM3">
        <f t="shared" si="0"/>
      </c>
      <c r="AN3">
        <f t="shared" si="1"/>
      </c>
      <c r="AO3">
        <f t="shared" si="1"/>
      </c>
      <c r="AP3">
        <f t="shared" si="1"/>
      </c>
      <c r="AQ3">
        <f t="shared" si="1"/>
      </c>
      <c r="AR3">
        <f t="shared" si="1"/>
      </c>
      <c r="AS3">
        <f t="shared" si="2"/>
      </c>
      <c r="AT3">
        <f t="shared" si="3"/>
      </c>
      <c r="AU3">
        <f>R3-$AM$1</f>
      </c>
      <c r="AV3">
        <f>S3-$AM$1</f>
      </c>
      <c r="AW3">
        <f>IF(Yeterlilik!$N$18="",NA(),T3-$AM$1)</f>
      </c>
      <c r="AX3">
        <f>U3-$AM$1</f>
      </c>
      <c r="AY3">
        <f>V3-$AM$1</f>
      </c>
      <c r="AZ3">
        <f t="shared" si="4"/>
      </c>
      <c r="BA3">
        <f>AA3-$AM$1</f>
      </c>
      <c r="BB3">
        <f t="shared" si="5"/>
      </c>
    </row>
    <row r="4" spans="1:54" x14ac:dyDescent="0.3">
      <c r="A4">
        <f>IF(B4="","",3)</f>
      </c>
      <c r="B4">
        <f>IF(Yeterlilik!$B$11="","",Yeterlilik!$B$11)</f>
      </c>
      <c r="K4">
        <f>$AD$1+1*$AF$1</f>
      </c>
      <c r="L4">
        <f>COUNTIFS($B$2:$B$126,"&gt;="&amp;$AD$1+0*$AF$1,$B$2:$B$126,"&lt;"&amp;$AD$1+1*$AF$1)</f>
      </c>
      <c r="N4">
        <f>$AD$1+2*(($AE$1-$AD$1)/119)</f>
      </c>
      <c r="O4">
        <f>IF(Yeterlilik!$N$30=0,0,Yeterlilik!$N$24*$AF$1*NORMDIST(N4,Yeterlilik!$N$25,Yeterlilik!$N$30,FALSE))</f>
      </c>
      <c r="X4">
        <f>IF(3&gt;Yeterlilik!$N$24,"",SMALL($B$2:$B$126,3))</f>
      </c>
      <c r="Y4">
        <f>IF(X4="","",NORMSINV((3-0.375)/(Yeterlilik!$N$24+0.25)))</f>
      </c>
      <c r="AH4">
        <f>IF(X4="","",NORMSDIST((X4-Yeterlilik!$N$25)/Yeterlilik!$N$30))</f>
      </c>
      <c r="AI4">
        <f>IF(OR(X4="",AH4&lt;=0,AH4&gt;=1),0,(3*2-1)*(LN(AH4)+LN(1-INDEX($AH$2:$AH$126,Yeterlilik!$N$24+1-3))))</f>
      </c>
      <c r="AM4">
        <f t="shared" si="0"/>
      </c>
      <c r="AS4">
        <f t="shared" si="2"/>
      </c>
      <c r="AT4">
        <f t="shared" si="3"/>
      </c>
      <c r="AZ4">
        <f t="shared" si="4"/>
      </c>
      <c r="BB4">
        <f t="shared" si="5"/>
      </c>
    </row>
    <row r="5" spans="1:54" x14ac:dyDescent="0.3">
      <c r="A5">
        <f>IF(B5="","",4)</f>
      </c>
      <c r="B5">
        <f>IF(Yeterlilik!$B$12="","",Yeterlilik!$B$12)</f>
      </c>
      <c r="K5">
        <f>$AD$1+1*$AF$1</f>
      </c>
      <c r="L5">
        <f>COUNTIFS($B$2:$B$126,"&gt;="&amp;$AD$1+1*$AF$1,$B$2:$B$126,"&lt;"&amp;$AD$1+2*$AF$1)</f>
      </c>
      <c r="N5">
        <f>$AD$1+3*(($AE$1-$AD$1)/119)</f>
      </c>
      <c r="O5">
        <f>IF(Yeterlilik!$N$30=0,0,Yeterlilik!$N$24*$AF$1*NORMDIST(N5,Yeterlilik!$N$25,Yeterlilik!$N$30,FALSE))</f>
      </c>
      <c r="X5">
        <f>IF(4&gt;Yeterlilik!$N$24,"",SMALL($B$2:$B$126,4))</f>
      </c>
      <c r="Y5">
        <f>IF(X5="","",NORMSINV((4-0.375)/(Yeterlilik!$N$24+0.25)))</f>
      </c>
      <c r="AH5">
        <f>IF(X5="","",NORMSDIST((X5-Yeterlilik!$N$25)/Yeterlilik!$N$30))</f>
      </c>
      <c r="AI5">
        <f>IF(OR(X5="",AH5&lt;=0,AH5&gt;=1),0,(4*2-1)*(LN(AH5)+LN(1-INDEX($AH$2:$AH$126,Yeterlilik!$N$24+1-4))))</f>
      </c>
      <c r="AM5">
        <f t="shared" si="0"/>
      </c>
      <c r="AS5">
        <f t="shared" si="2"/>
      </c>
      <c r="AT5">
        <f t="shared" si="3"/>
      </c>
      <c r="AZ5">
        <f t="shared" si="4"/>
      </c>
      <c r="BB5">
        <f t="shared" si="5"/>
      </c>
    </row>
    <row r="6" spans="1:54" x14ac:dyDescent="0.3">
      <c r="A6">
        <f>IF(B6="","",5)</f>
      </c>
      <c r="B6">
        <f>IF(Yeterlilik!$B$13="","",Yeterlilik!$B$13)</f>
      </c>
      <c r="K6">
        <f>$AD$1+2*$AF$1</f>
      </c>
      <c r="L6">
        <f>COUNTIFS($B$2:$B$126,"&gt;="&amp;$AD$1+1*$AF$1,$B$2:$B$126,"&lt;"&amp;$AD$1+2*$AF$1)</f>
      </c>
      <c r="N6">
        <f>$AD$1+4*(($AE$1-$AD$1)/119)</f>
      </c>
      <c r="O6">
        <f>IF(Yeterlilik!$N$30=0,0,Yeterlilik!$N$24*$AF$1*NORMDIST(N6,Yeterlilik!$N$25,Yeterlilik!$N$30,FALSE))</f>
      </c>
      <c r="X6">
        <f>IF(5&gt;Yeterlilik!$N$24,"",SMALL($B$2:$B$126,5))</f>
      </c>
      <c r="Y6">
        <f>IF(X6="","",NORMSINV((5-0.375)/(Yeterlilik!$N$24+0.25)))</f>
      </c>
      <c r="AH6">
        <f>IF(X6="","",NORMSDIST((X6-Yeterlilik!$N$25)/Yeterlilik!$N$30))</f>
      </c>
      <c r="AI6">
        <f>IF(OR(X6="",AH6&lt;=0,AH6&gt;=1),0,(5*2-1)*(LN(AH6)+LN(1-INDEX($AH$2:$AH$126,Yeterlilik!$N$24+1-5))))</f>
      </c>
      <c r="AM6">
        <f t="shared" si="0"/>
      </c>
      <c r="AS6">
        <f t="shared" si="2"/>
      </c>
      <c r="AT6">
        <f t="shared" si="3"/>
      </c>
      <c r="AZ6">
        <f t="shared" si="4"/>
      </c>
      <c r="BB6">
        <f t="shared" si="5"/>
      </c>
    </row>
    <row r="7" spans="1:54" x14ac:dyDescent="0.3">
      <c r="A7">
        <f>IF(B7="","",6)</f>
      </c>
      <c r="B7">
        <f>IF(Yeterlilik!$B$14="","",Yeterlilik!$B$14)</f>
      </c>
      <c r="K7">
        <f>$AD$1+2*$AF$1</f>
      </c>
      <c r="L7">
        <f>COUNTIFS($B$2:$B$126,"&gt;="&amp;$AD$1+2*$AF$1,$B$2:$B$126,"&lt;"&amp;$AD$1+3*$AF$1)</f>
      </c>
      <c r="N7">
        <f>$AD$1+5*(($AE$1-$AD$1)/119)</f>
      </c>
      <c r="O7">
        <f>IF(Yeterlilik!$N$30=0,0,Yeterlilik!$N$24*$AF$1*NORMDIST(N7,Yeterlilik!$N$25,Yeterlilik!$N$30,FALSE))</f>
      </c>
      <c r="X7">
        <f>IF(6&gt;Yeterlilik!$N$24,"",SMALL($B$2:$B$126,6))</f>
      </c>
      <c r="Y7">
        <f>IF(X7="","",NORMSINV((6-0.375)/(Yeterlilik!$N$24+0.25)))</f>
      </c>
      <c r="AH7">
        <f>IF(X7="","",NORMSDIST((X7-Yeterlilik!$N$25)/Yeterlilik!$N$30))</f>
      </c>
      <c r="AI7">
        <f>IF(OR(X7="",AH7&lt;=0,AH7&gt;=1),0,(6*2-1)*(LN(AH7)+LN(1-INDEX($AH$2:$AH$126,Yeterlilik!$N$24+1-6))))</f>
      </c>
      <c r="AM7">
        <f t="shared" si="0"/>
      </c>
      <c r="AS7">
        <f t="shared" si="2"/>
      </c>
      <c r="AT7">
        <f t="shared" si="3"/>
      </c>
      <c r="AZ7">
        <f t="shared" si="4"/>
      </c>
      <c r="BB7">
        <f t="shared" si="5"/>
      </c>
    </row>
    <row r="8" spans="1:54" x14ac:dyDescent="0.3">
      <c r="A8">
        <f>IF(B8="","",7)</f>
      </c>
      <c r="B8">
        <f>IF(Yeterlilik!$B$15="","",Yeterlilik!$B$15)</f>
      </c>
      <c r="K8">
        <f>$AD$1+3*$AF$1</f>
      </c>
      <c r="L8">
        <f>COUNTIFS($B$2:$B$126,"&gt;="&amp;$AD$1+2*$AF$1,$B$2:$B$126,"&lt;"&amp;$AD$1+3*$AF$1)</f>
      </c>
      <c r="N8">
        <f>$AD$1+6*(($AE$1-$AD$1)/119)</f>
      </c>
      <c r="O8">
        <f>IF(Yeterlilik!$N$30=0,0,Yeterlilik!$N$24*$AF$1*NORMDIST(N8,Yeterlilik!$N$25,Yeterlilik!$N$30,FALSE))</f>
      </c>
      <c r="X8">
        <f>IF(7&gt;Yeterlilik!$N$24,"",SMALL($B$2:$B$126,7))</f>
      </c>
      <c r="Y8">
        <f>IF(X8="","",NORMSINV((7-0.375)/(Yeterlilik!$N$24+0.25)))</f>
      </c>
      <c r="AH8">
        <f>IF(X8="","",NORMSDIST((X8-Yeterlilik!$N$25)/Yeterlilik!$N$30))</f>
      </c>
      <c r="AI8">
        <f>IF(OR(X8="",AH8&lt;=0,AH8&gt;=1),0,(7*2-1)*(LN(AH8)+LN(1-INDEX($AH$2:$AH$126,Yeterlilik!$N$24+1-7))))</f>
      </c>
      <c r="AM8">
        <f t="shared" si="0"/>
      </c>
      <c r="AS8">
        <f t="shared" si="2"/>
      </c>
      <c r="AT8">
        <f t="shared" si="3"/>
      </c>
      <c r="AZ8">
        <f t="shared" si="4"/>
      </c>
      <c r="BB8">
        <f t="shared" si="5"/>
      </c>
    </row>
    <row r="9" spans="1:54" x14ac:dyDescent="0.3">
      <c r="A9">
        <f>IF(B9="","",8)</f>
      </c>
      <c r="B9">
        <f>IF(Yeterlilik!$B$16="","",Yeterlilik!$B$16)</f>
      </c>
      <c r="K9">
        <f>$AD$1+3*$AF$1</f>
      </c>
      <c r="L9">
        <f>COUNTIFS($B$2:$B$126,"&gt;="&amp;$AD$1+3*$AF$1,$B$2:$B$126,"&lt;"&amp;$AD$1+4*$AF$1)</f>
      </c>
      <c r="N9">
        <f>$AD$1+7*(($AE$1-$AD$1)/119)</f>
      </c>
      <c r="O9">
        <f>IF(Yeterlilik!$N$30=0,0,Yeterlilik!$N$24*$AF$1*NORMDIST(N9,Yeterlilik!$N$25,Yeterlilik!$N$30,FALSE))</f>
      </c>
      <c r="X9">
        <f>IF(8&gt;Yeterlilik!$N$24,"",SMALL($B$2:$B$126,8))</f>
      </c>
      <c r="Y9">
        <f>IF(X9="","",NORMSINV((8-0.375)/(Yeterlilik!$N$24+0.25)))</f>
      </c>
      <c r="AH9">
        <f>IF(X9="","",NORMSDIST((X9-Yeterlilik!$N$25)/Yeterlilik!$N$30))</f>
      </c>
      <c r="AI9">
        <f>IF(OR(X9="",AH9&lt;=0,AH9&gt;=1),0,(8*2-1)*(LN(AH9)+LN(1-INDEX($AH$2:$AH$126,Yeterlilik!$N$24+1-8))))</f>
      </c>
      <c r="AM9">
        <f t="shared" si="0"/>
      </c>
      <c r="AS9">
        <f t="shared" si="2"/>
      </c>
      <c r="AT9">
        <f t="shared" si="3"/>
      </c>
      <c r="AZ9">
        <f t="shared" si="4"/>
      </c>
      <c r="BB9">
        <f t="shared" si="5"/>
      </c>
    </row>
    <row r="10" spans="1:54" x14ac:dyDescent="0.3">
      <c r="A10">
        <f>IF(B10="","",9)</f>
      </c>
      <c r="B10">
        <f>IF(Yeterlilik!$B$17="","",Yeterlilik!$B$17)</f>
      </c>
      <c r="K10">
        <f>$AD$1+4*$AF$1</f>
      </c>
      <c r="L10">
        <f>COUNTIFS($B$2:$B$126,"&gt;="&amp;$AD$1+3*$AF$1,$B$2:$B$126,"&lt;"&amp;$AD$1+4*$AF$1)</f>
      </c>
      <c r="N10">
        <f>$AD$1+8*(($AE$1-$AD$1)/119)</f>
      </c>
      <c r="O10">
        <f>IF(Yeterlilik!$N$30=0,0,Yeterlilik!$N$24*$AF$1*NORMDIST(N10,Yeterlilik!$N$25,Yeterlilik!$N$30,FALSE))</f>
      </c>
      <c r="X10">
        <f>IF(9&gt;Yeterlilik!$N$24,"",SMALL($B$2:$B$126,9))</f>
      </c>
      <c r="Y10">
        <f>IF(X10="","",NORMSINV((9-0.375)/(Yeterlilik!$N$24+0.25)))</f>
      </c>
      <c r="AH10">
        <f>IF(X10="","",NORMSDIST((X10-Yeterlilik!$N$25)/Yeterlilik!$N$30))</f>
      </c>
      <c r="AI10">
        <f>IF(OR(X10="",AH10&lt;=0,AH10&gt;=1),0,(9*2-1)*(LN(AH10)+LN(1-INDEX($AH$2:$AH$126,Yeterlilik!$N$24+1-9))))</f>
      </c>
      <c r="AM10">
        <f t="shared" si="0"/>
      </c>
      <c r="AS10">
        <f t="shared" si="2"/>
      </c>
      <c r="AT10">
        <f t="shared" si="3"/>
      </c>
      <c r="AZ10">
        <f t="shared" si="4"/>
      </c>
      <c r="BB10">
        <f t="shared" si="5"/>
      </c>
    </row>
    <row r="11" spans="1:54" x14ac:dyDescent="0.3">
      <c r="A11">
        <f>IF(B11="","",10)</f>
      </c>
      <c r="B11">
        <f>IF(Yeterlilik!$B$18="","",Yeterlilik!$B$18)</f>
      </c>
      <c r="K11">
        <f>$AD$1+4*$AF$1</f>
      </c>
      <c r="L11">
        <f>COUNTIFS($B$2:$B$126,"&gt;="&amp;$AD$1+4*$AF$1,$B$2:$B$126,"&lt;"&amp;$AD$1+5*$AF$1)</f>
      </c>
      <c r="N11">
        <f>$AD$1+9*(($AE$1-$AD$1)/119)</f>
      </c>
      <c r="O11">
        <f>IF(Yeterlilik!$N$30=0,0,Yeterlilik!$N$24*$AF$1*NORMDIST(N11,Yeterlilik!$N$25,Yeterlilik!$N$30,FALSE))</f>
      </c>
      <c r="X11">
        <f>IF(10&gt;Yeterlilik!$N$24,"",SMALL($B$2:$B$126,10))</f>
      </c>
      <c r="Y11">
        <f>IF(X11="","",NORMSINV((10-0.375)/(Yeterlilik!$N$24+0.25)))</f>
      </c>
      <c r="AH11">
        <f>IF(X11="","",NORMSDIST((X11-Yeterlilik!$N$25)/Yeterlilik!$N$30))</f>
      </c>
      <c r="AI11">
        <f>IF(OR(X11="",AH11&lt;=0,AH11&gt;=1),0,(10*2-1)*(LN(AH11)+LN(1-INDEX($AH$2:$AH$126,Yeterlilik!$N$24+1-10))))</f>
      </c>
      <c r="AM11">
        <f t="shared" si="0"/>
      </c>
      <c r="AS11">
        <f t="shared" si="2"/>
      </c>
      <c r="AT11">
        <f t="shared" si="3"/>
      </c>
      <c r="AZ11">
        <f t="shared" si="4"/>
      </c>
      <c r="BB11">
        <f t="shared" si="5"/>
      </c>
    </row>
    <row r="12" spans="1:54" x14ac:dyDescent="0.3">
      <c r="A12">
        <f>IF(B12="","",11)</f>
      </c>
      <c r="B12">
        <f>IF(Yeterlilik!$B$19="","",Yeterlilik!$B$19)</f>
      </c>
      <c r="K12">
        <f>$AD$1+5*$AF$1</f>
      </c>
      <c r="L12">
        <f>COUNTIFS($B$2:$B$126,"&gt;="&amp;$AD$1+4*$AF$1,$B$2:$B$126,"&lt;"&amp;$AD$1+5*$AF$1)</f>
      </c>
      <c r="N12">
        <f>$AD$1+10*(($AE$1-$AD$1)/119)</f>
      </c>
      <c r="O12">
        <f>IF(Yeterlilik!$N$30=0,0,Yeterlilik!$N$24*$AF$1*NORMDIST(N12,Yeterlilik!$N$25,Yeterlilik!$N$30,FALSE))</f>
      </c>
      <c r="X12">
        <f>IF(11&gt;Yeterlilik!$N$24,"",SMALL($B$2:$B$126,11))</f>
      </c>
      <c r="Y12">
        <f>IF(X12="","",NORMSINV((11-0.375)/(Yeterlilik!$N$24+0.25)))</f>
      </c>
      <c r="AH12">
        <f>IF(X12="","",NORMSDIST((X12-Yeterlilik!$N$25)/Yeterlilik!$N$30))</f>
      </c>
      <c r="AI12">
        <f>IF(OR(X12="",AH12&lt;=0,AH12&gt;=1),0,(11*2-1)*(LN(AH12)+LN(1-INDEX($AH$2:$AH$126,Yeterlilik!$N$24+1-11))))</f>
      </c>
      <c r="AM12">
        <f t="shared" si="0"/>
      </c>
      <c r="AS12">
        <f t="shared" si="2"/>
      </c>
      <c r="AT12">
        <f t="shared" si="3"/>
      </c>
      <c r="AZ12">
        <f t="shared" si="4"/>
      </c>
      <c r="BB12">
        <f t="shared" si="5"/>
      </c>
    </row>
    <row r="13" spans="1:54" x14ac:dyDescent="0.3">
      <c r="A13">
        <f>IF(B13="","",12)</f>
      </c>
      <c r="B13">
        <f>IF(Yeterlilik!$B$20="","",Yeterlilik!$B$20)</f>
      </c>
      <c r="K13">
        <f>$AD$1+5*$AF$1</f>
      </c>
      <c r="L13">
        <f>COUNTIFS($B$2:$B$126,"&gt;="&amp;$AD$1+5*$AF$1,$B$2:$B$126,"&lt;"&amp;$AD$1+6*$AF$1)</f>
      </c>
      <c r="N13">
        <f>$AD$1+11*(($AE$1-$AD$1)/119)</f>
      </c>
      <c r="O13">
        <f>IF(Yeterlilik!$N$30=0,0,Yeterlilik!$N$24*$AF$1*NORMDIST(N13,Yeterlilik!$N$25,Yeterlilik!$N$30,FALSE))</f>
      </c>
      <c r="X13">
        <f>IF(12&gt;Yeterlilik!$N$24,"",SMALL($B$2:$B$126,12))</f>
      </c>
      <c r="Y13">
        <f>IF(X13="","",NORMSINV((12-0.375)/(Yeterlilik!$N$24+0.25)))</f>
      </c>
      <c r="AH13">
        <f>IF(X13="","",NORMSDIST((X13-Yeterlilik!$N$25)/Yeterlilik!$N$30))</f>
      </c>
      <c r="AI13">
        <f>IF(OR(X13="",AH13&lt;=0,AH13&gt;=1),0,(12*2-1)*(LN(AH13)+LN(1-INDEX($AH$2:$AH$126,Yeterlilik!$N$24+1-12))))</f>
      </c>
      <c r="AM13">
        <f t="shared" si="0"/>
      </c>
      <c r="AS13">
        <f t="shared" si="2"/>
      </c>
      <c r="AT13">
        <f t="shared" si="3"/>
      </c>
      <c r="AZ13">
        <f t="shared" si="4"/>
      </c>
      <c r="BB13">
        <f t="shared" si="5"/>
      </c>
    </row>
    <row r="14" spans="1:54" x14ac:dyDescent="0.3">
      <c r="A14">
        <f>IF(B14="","",13)</f>
      </c>
      <c r="B14">
        <f>IF(Yeterlilik!$B$21="","",Yeterlilik!$B$21)</f>
      </c>
      <c r="K14">
        <f>$AD$1+6*$AF$1</f>
      </c>
      <c r="L14">
        <f>COUNTIFS($B$2:$B$126,"&gt;="&amp;$AD$1+5*$AF$1,$B$2:$B$126,"&lt;"&amp;$AD$1+6*$AF$1)</f>
      </c>
      <c r="N14">
        <f>$AD$1+12*(($AE$1-$AD$1)/119)</f>
      </c>
      <c r="O14">
        <f>IF(Yeterlilik!$N$30=0,0,Yeterlilik!$N$24*$AF$1*NORMDIST(N14,Yeterlilik!$N$25,Yeterlilik!$N$30,FALSE))</f>
      </c>
      <c r="X14">
        <f>IF(13&gt;Yeterlilik!$N$24,"",SMALL($B$2:$B$126,13))</f>
      </c>
      <c r="Y14">
        <f>IF(X14="","",NORMSINV((13-0.375)/(Yeterlilik!$N$24+0.25)))</f>
      </c>
      <c r="AH14">
        <f>IF(X14="","",NORMSDIST((X14-Yeterlilik!$N$25)/Yeterlilik!$N$30))</f>
      </c>
      <c r="AI14">
        <f>IF(OR(X14="",AH14&lt;=0,AH14&gt;=1),0,(13*2-1)*(LN(AH14)+LN(1-INDEX($AH$2:$AH$126,Yeterlilik!$N$24+1-13))))</f>
      </c>
      <c r="AM14">
        <f t="shared" si="0"/>
      </c>
      <c r="AS14">
        <f t="shared" si="2"/>
      </c>
      <c r="AT14">
        <f t="shared" si="3"/>
      </c>
      <c r="AZ14">
        <f t="shared" si="4"/>
      </c>
      <c r="BB14">
        <f t="shared" si="5"/>
      </c>
    </row>
    <row r="15" spans="1:54" x14ac:dyDescent="0.3">
      <c r="A15">
        <f>IF(B15="","",14)</f>
      </c>
      <c r="B15">
        <f>IF(Yeterlilik!$B$22="","",Yeterlilik!$B$22)</f>
      </c>
      <c r="K15">
        <f>$AD$1+6*$AF$1</f>
      </c>
      <c r="L15">
        <f>COUNTIFS($B$2:$B$126,"&gt;="&amp;$AD$1+6*$AF$1,$B$2:$B$126,"&lt;"&amp;$AD$1+7*$AF$1)</f>
      </c>
      <c r="N15">
        <f>$AD$1+13*(($AE$1-$AD$1)/119)</f>
      </c>
      <c r="O15">
        <f>IF(Yeterlilik!$N$30=0,0,Yeterlilik!$N$24*$AF$1*NORMDIST(N15,Yeterlilik!$N$25,Yeterlilik!$N$30,FALSE))</f>
      </c>
      <c r="X15">
        <f>IF(14&gt;Yeterlilik!$N$24,"",SMALL($B$2:$B$126,14))</f>
      </c>
      <c r="Y15">
        <f>IF(X15="","",NORMSINV((14-0.375)/(Yeterlilik!$N$24+0.25)))</f>
      </c>
      <c r="AH15">
        <f>IF(X15="","",NORMSDIST((X15-Yeterlilik!$N$25)/Yeterlilik!$N$30))</f>
      </c>
      <c r="AI15">
        <f>IF(OR(X15="",AH15&lt;=0,AH15&gt;=1),0,(14*2-1)*(LN(AH15)+LN(1-INDEX($AH$2:$AH$126,Yeterlilik!$N$24+1-14))))</f>
      </c>
      <c r="AM15">
        <f t="shared" si="0"/>
      </c>
      <c r="AS15">
        <f t="shared" si="2"/>
      </c>
      <c r="AT15">
        <f t="shared" si="3"/>
      </c>
      <c r="AZ15">
        <f t="shared" si="4"/>
      </c>
      <c r="BB15">
        <f t="shared" si="5"/>
      </c>
    </row>
    <row r="16" spans="1:54" x14ac:dyDescent="0.3">
      <c r="A16">
        <f>IF(B16="","",15)</f>
      </c>
      <c r="B16">
        <f>IF(Yeterlilik!$B$23="","",Yeterlilik!$B$23)</f>
      </c>
      <c r="K16">
        <f>$AD$1+7*$AF$1</f>
      </c>
      <c r="L16">
        <f>COUNTIFS($B$2:$B$126,"&gt;="&amp;$AD$1+6*$AF$1,$B$2:$B$126,"&lt;"&amp;$AD$1+7*$AF$1)</f>
      </c>
      <c r="N16">
        <f>$AD$1+14*(($AE$1-$AD$1)/119)</f>
      </c>
      <c r="O16">
        <f>IF(Yeterlilik!$N$30=0,0,Yeterlilik!$N$24*$AF$1*NORMDIST(N16,Yeterlilik!$N$25,Yeterlilik!$N$30,FALSE))</f>
      </c>
      <c r="X16">
        <f>IF(15&gt;Yeterlilik!$N$24,"",SMALL($B$2:$B$126,15))</f>
      </c>
      <c r="Y16">
        <f>IF(X16="","",NORMSINV((15-0.375)/(Yeterlilik!$N$24+0.25)))</f>
      </c>
      <c r="AH16">
        <f>IF(X16="","",NORMSDIST((X16-Yeterlilik!$N$25)/Yeterlilik!$N$30))</f>
      </c>
      <c r="AI16">
        <f>IF(OR(X16="",AH16&lt;=0,AH16&gt;=1),0,(15*2-1)*(LN(AH16)+LN(1-INDEX($AH$2:$AH$126,Yeterlilik!$N$24+1-15))))</f>
      </c>
      <c r="AM16">
        <f t="shared" si="0"/>
      </c>
      <c r="AS16">
        <f t="shared" si="2"/>
      </c>
      <c r="AT16">
        <f t="shared" si="3"/>
      </c>
      <c r="AZ16">
        <f t="shared" si="4"/>
      </c>
      <c r="BB16">
        <f t="shared" si="5"/>
      </c>
    </row>
    <row r="17" spans="1:54" x14ac:dyDescent="0.3">
      <c r="A17">
        <f>IF(B17="","",16)</f>
      </c>
      <c r="B17">
        <f>IF(Yeterlilik!$B$24="","",Yeterlilik!$B$24)</f>
      </c>
      <c r="K17">
        <f>$AD$1+7*$AF$1</f>
      </c>
      <c r="L17">
        <f>COUNTIFS($B$2:$B$126,"&gt;="&amp;$AD$1+7*$AF$1,$B$2:$B$126,"&lt;"&amp;$AD$1+8*$AF$1)</f>
      </c>
      <c r="N17">
        <f>$AD$1+15*(($AE$1-$AD$1)/119)</f>
      </c>
      <c r="O17">
        <f>IF(Yeterlilik!$N$30=0,0,Yeterlilik!$N$24*$AF$1*NORMDIST(N17,Yeterlilik!$N$25,Yeterlilik!$N$30,FALSE))</f>
      </c>
      <c r="X17">
        <f>IF(16&gt;Yeterlilik!$N$24,"",SMALL($B$2:$B$126,16))</f>
      </c>
      <c r="Y17">
        <f>IF(X17="","",NORMSINV((16-0.375)/(Yeterlilik!$N$24+0.25)))</f>
      </c>
      <c r="AH17">
        <f>IF(X17="","",NORMSDIST((X17-Yeterlilik!$N$25)/Yeterlilik!$N$30))</f>
      </c>
      <c r="AI17">
        <f>IF(OR(X17="",AH17&lt;=0,AH17&gt;=1),0,(16*2-1)*(LN(AH17)+LN(1-INDEX($AH$2:$AH$126,Yeterlilik!$N$24+1-16))))</f>
      </c>
      <c r="AM17">
        <f t="shared" si="0"/>
      </c>
      <c r="AS17">
        <f t="shared" si="2"/>
      </c>
      <c r="AT17">
        <f t="shared" si="3"/>
      </c>
      <c r="AZ17">
        <f t="shared" si="4"/>
      </c>
      <c r="BB17">
        <f t="shared" si="5"/>
      </c>
    </row>
    <row r="18" spans="1:54" x14ac:dyDescent="0.3">
      <c r="A18">
        <f>IF(B18="","",17)</f>
      </c>
      <c r="B18">
        <f>IF(Yeterlilik!$B$25="","",Yeterlilik!$B$25)</f>
      </c>
      <c r="K18">
        <f>$AD$1+8*$AF$1</f>
      </c>
      <c r="L18">
        <f>COUNTIFS($B$2:$B$126,"&gt;="&amp;$AD$1+7*$AF$1,$B$2:$B$126,"&lt;"&amp;$AD$1+8*$AF$1)</f>
      </c>
      <c r="N18">
        <f>$AD$1+16*(($AE$1-$AD$1)/119)</f>
      </c>
      <c r="O18">
        <f>IF(Yeterlilik!$N$30=0,0,Yeterlilik!$N$24*$AF$1*NORMDIST(N18,Yeterlilik!$N$25,Yeterlilik!$N$30,FALSE))</f>
      </c>
      <c r="X18">
        <f>IF(17&gt;Yeterlilik!$N$24,"",SMALL($B$2:$B$126,17))</f>
      </c>
      <c r="Y18">
        <f>IF(X18="","",NORMSINV((17-0.375)/(Yeterlilik!$N$24+0.25)))</f>
      </c>
      <c r="AH18">
        <f>IF(X18="","",NORMSDIST((X18-Yeterlilik!$N$25)/Yeterlilik!$N$30))</f>
      </c>
      <c r="AI18">
        <f>IF(OR(X18="",AH18&lt;=0,AH18&gt;=1),0,(17*2-1)*(LN(AH18)+LN(1-INDEX($AH$2:$AH$126,Yeterlilik!$N$24+1-17))))</f>
      </c>
      <c r="AM18">
        <f t="shared" si="0"/>
      </c>
      <c r="AS18">
        <f t="shared" si="2"/>
      </c>
      <c r="AT18">
        <f t="shared" si="3"/>
      </c>
      <c r="AZ18">
        <f t="shared" si="4"/>
      </c>
      <c r="BB18">
        <f t="shared" si="5"/>
      </c>
    </row>
    <row r="19" spans="1:54" x14ac:dyDescent="0.3">
      <c r="A19">
        <f>IF(B19="","",18)</f>
      </c>
      <c r="B19">
        <f>IF(Yeterlilik!$B$26="","",Yeterlilik!$B$26)</f>
      </c>
      <c r="K19">
        <f>$AD$1+8*$AF$1</f>
      </c>
      <c r="L19">
        <f>COUNTIFS($B$2:$B$126,"&gt;="&amp;$AD$1+8*$AF$1,$B$2:$B$126,"&lt;"&amp;$AD$1+9*$AF$1)</f>
      </c>
      <c r="N19">
        <f>$AD$1+17*(($AE$1-$AD$1)/119)</f>
      </c>
      <c r="O19">
        <f>IF(Yeterlilik!$N$30=0,0,Yeterlilik!$N$24*$AF$1*NORMDIST(N19,Yeterlilik!$N$25,Yeterlilik!$N$30,FALSE))</f>
      </c>
      <c r="X19">
        <f>IF(18&gt;Yeterlilik!$N$24,"",SMALL($B$2:$B$126,18))</f>
      </c>
      <c r="Y19">
        <f>IF(X19="","",NORMSINV((18-0.375)/(Yeterlilik!$N$24+0.25)))</f>
      </c>
      <c r="AH19">
        <f>IF(X19="","",NORMSDIST((X19-Yeterlilik!$N$25)/Yeterlilik!$N$30))</f>
      </c>
      <c r="AI19">
        <f>IF(OR(X19="",AH19&lt;=0,AH19&gt;=1),0,(18*2-1)*(LN(AH19)+LN(1-INDEX($AH$2:$AH$126,Yeterlilik!$N$24+1-18))))</f>
      </c>
      <c r="AM19">
        <f t="shared" si="0"/>
      </c>
      <c r="AS19">
        <f t="shared" si="2"/>
      </c>
      <c r="AT19">
        <f t="shared" si="3"/>
      </c>
      <c r="AZ19">
        <f t="shared" si="4"/>
      </c>
      <c r="BB19">
        <f t="shared" si="5"/>
      </c>
    </row>
    <row r="20" spans="1:54" x14ac:dyDescent="0.3">
      <c r="A20">
        <f>IF(B20="","",19)</f>
      </c>
      <c r="B20">
        <f>IF(Yeterlilik!$B$27="","",Yeterlilik!$B$27)</f>
      </c>
      <c r="K20">
        <f>$AD$1+9*$AF$1</f>
      </c>
      <c r="L20">
        <f>COUNTIFS($B$2:$B$126,"&gt;="&amp;$AD$1+8*$AF$1,$B$2:$B$126,"&lt;"&amp;$AD$1+9*$AF$1)</f>
      </c>
      <c r="N20">
        <f>$AD$1+18*(($AE$1-$AD$1)/119)</f>
      </c>
      <c r="O20">
        <f>IF(Yeterlilik!$N$30=0,0,Yeterlilik!$N$24*$AF$1*NORMDIST(N20,Yeterlilik!$N$25,Yeterlilik!$N$30,FALSE))</f>
      </c>
      <c r="X20">
        <f>IF(19&gt;Yeterlilik!$N$24,"",SMALL($B$2:$B$126,19))</f>
      </c>
      <c r="Y20">
        <f>IF(X20="","",NORMSINV((19-0.375)/(Yeterlilik!$N$24+0.25)))</f>
      </c>
      <c r="AH20">
        <f>IF(X20="","",NORMSDIST((X20-Yeterlilik!$N$25)/Yeterlilik!$N$30))</f>
      </c>
      <c r="AI20">
        <f>IF(OR(X20="",AH20&lt;=0,AH20&gt;=1),0,(19*2-1)*(LN(AH20)+LN(1-INDEX($AH$2:$AH$126,Yeterlilik!$N$24+1-19))))</f>
      </c>
      <c r="AM20">
        <f t="shared" si="0"/>
      </c>
      <c r="AS20">
        <f t="shared" si="2"/>
      </c>
      <c r="AT20">
        <f t="shared" si="3"/>
      </c>
      <c r="AZ20">
        <f t="shared" si="4"/>
      </c>
      <c r="BB20">
        <f t="shared" si="5"/>
      </c>
    </row>
    <row r="21" spans="1:54" x14ac:dyDescent="0.3">
      <c r="A21">
        <f>IF(B21="","",20)</f>
      </c>
      <c r="B21">
        <f>IF(Yeterlilik!$B$28="","",Yeterlilik!$B$28)</f>
      </c>
      <c r="K21">
        <f>$AD$1+9*$AF$1</f>
      </c>
      <c r="L21">
        <f>COUNTIFS($B$2:$B$126,"&gt;="&amp;$AD$1+9*$AF$1,$B$2:$B$126,"&lt;"&amp;$AD$1+10*$AF$1)</f>
      </c>
      <c r="N21">
        <f>$AD$1+19*(($AE$1-$AD$1)/119)</f>
      </c>
      <c r="O21">
        <f>IF(Yeterlilik!$N$30=0,0,Yeterlilik!$N$24*$AF$1*NORMDIST(N21,Yeterlilik!$N$25,Yeterlilik!$N$30,FALSE))</f>
      </c>
      <c r="X21">
        <f>IF(20&gt;Yeterlilik!$N$24,"",SMALL($B$2:$B$126,20))</f>
      </c>
      <c r="Y21">
        <f>IF(X21="","",NORMSINV((20-0.375)/(Yeterlilik!$N$24+0.25)))</f>
      </c>
      <c r="AH21">
        <f>IF(X21="","",NORMSDIST((X21-Yeterlilik!$N$25)/Yeterlilik!$N$30))</f>
      </c>
      <c r="AI21">
        <f>IF(OR(X21="",AH21&lt;=0,AH21&gt;=1),0,(20*2-1)*(LN(AH21)+LN(1-INDEX($AH$2:$AH$126,Yeterlilik!$N$24+1-20))))</f>
      </c>
      <c r="AM21">
        <f t="shared" si="0"/>
      </c>
      <c r="AS21">
        <f t="shared" si="2"/>
      </c>
      <c r="AT21">
        <f t="shared" si="3"/>
      </c>
      <c r="AZ21">
        <f t="shared" si="4"/>
      </c>
      <c r="BB21">
        <f t="shared" si="5"/>
      </c>
    </row>
    <row r="22" spans="1:54" x14ac:dyDescent="0.3">
      <c r="A22">
        <f>IF(B22="","",21)</f>
      </c>
      <c r="B22">
        <f>IF(Yeterlilik!$B$29="","",Yeterlilik!$B$29)</f>
      </c>
      <c r="K22">
        <f>$AD$1+10*$AF$1</f>
      </c>
      <c r="L22">
        <f>COUNTIFS($B$2:$B$126,"&gt;="&amp;$AD$1+9*$AF$1,$B$2:$B$126,"&lt;"&amp;$AD$1+10*$AF$1)</f>
      </c>
      <c r="N22">
        <f>$AD$1+20*(($AE$1-$AD$1)/119)</f>
      </c>
      <c r="O22">
        <f>IF(Yeterlilik!$N$30=0,0,Yeterlilik!$N$24*$AF$1*NORMDIST(N22,Yeterlilik!$N$25,Yeterlilik!$N$30,FALSE))</f>
      </c>
      <c r="X22">
        <f>IF(21&gt;Yeterlilik!$N$24,"",SMALL($B$2:$B$126,21))</f>
      </c>
      <c r="Y22">
        <f>IF(X22="","",NORMSINV((21-0.375)/(Yeterlilik!$N$24+0.25)))</f>
      </c>
      <c r="AH22">
        <f>IF(X22="","",NORMSDIST((X22-Yeterlilik!$N$25)/Yeterlilik!$N$30))</f>
      </c>
      <c r="AI22">
        <f>IF(OR(X22="",AH22&lt;=0,AH22&gt;=1),0,(21*2-1)*(LN(AH22)+LN(1-INDEX($AH$2:$AH$126,Yeterlilik!$N$24+1-21))))</f>
      </c>
      <c r="AM22">
        <f t="shared" si="0"/>
      </c>
      <c r="AS22">
        <f t="shared" si="2"/>
      </c>
      <c r="AT22">
        <f t="shared" si="3"/>
      </c>
      <c r="AZ22">
        <f t="shared" si="4"/>
      </c>
      <c r="BB22">
        <f t="shared" si="5"/>
      </c>
    </row>
    <row r="23" spans="1:54" x14ac:dyDescent="0.3">
      <c r="A23">
        <f>IF(B23="","",22)</f>
      </c>
      <c r="B23">
        <f>IF(Yeterlilik!$B$30="","",Yeterlilik!$B$30)</f>
      </c>
      <c r="K23">
        <f>$AD$1+10*$AF$1</f>
      </c>
      <c r="L23">
        <f>COUNTIFS($B$2:$B$126,"&gt;="&amp;$AD$1+10*$AF$1,$B$2:$B$126,"&lt;"&amp;$AD$1+11*$AF$1)</f>
      </c>
      <c r="N23">
        <f>$AD$1+21*(($AE$1-$AD$1)/119)</f>
      </c>
      <c r="O23">
        <f>IF(Yeterlilik!$N$30=0,0,Yeterlilik!$N$24*$AF$1*NORMDIST(N23,Yeterlilik!$N$25,Yeterlilik!$N$30,FALSE))</f>
      </c>
      <c r="X23">
        <f>IF(22&gt;Yeterlilik!$N$24,"",SMALL($B$2:$B$126,22))</f>
      </c>
      <c r="Y23">
        <f>IF(X23="","",NORMSINV((22-0.375)/(Yeterlilik!$N$24+0.25)))</f>
      </c>
      <c r="AH23">
        <f>IF(X23="","",NORMSDIST((X23-Yeterlilik!$N$25)/Yeterlilik!$N$30))</f>
      </c>
      <c r="AI23">
        <f>IF(OR(X23="",AH23&lt;=0,AH23&gt;=1),0,(22*2-1)*(LN(AH23)+LN(1-INDEX($AH$2:$AH$126,Yeterlilik!$N$24+1-22))))</f>
      </c>
      <c r="AM23">
        <f t="shared" si="0"/>
      </c>
      <c r="AS23">
        <f t="shared" si="2"/>
      </c>
      <c r="AT23">
        <f t="shared" si="3"/>
      </c>
      <c r="AZ23">
        <f t="shared" si="4"/>
      </c>
      <c r="BB23">
        <f t="shared" si="5"/>
      </c>
    </row>
    <row r="24" spans="1:54" x14ac:dyDescent="0.3">
      <c r="A24">
        <f>IF(B24="","",23)</f>
      </c>
      <c r="B24">
        <f>IF(Yeterlilik!$B$31="","",Yeterlilik!$B$31)</f>
      </c>
      <c r="K24">
        <f>$AD$1+11*$AF$1</f>
      </c>
      <c r="L24">
        <f>COUNTIFS($B$2:$B$126,"&gt;="&amp;$AD$1+10*$AF$1,$B$2:$B$126,"&lt;"&amp;$AD$1+11*$AF$1)</f>
      </c>
      <c r="N24">
        <f>$AD$1+22*(($AE$1-$AD$1)/119)</f>
      </c>
      <c r="O24">
        <f>IF(Yeterlilik!$N$30=0,0,Yeterlilik!$N$24*$AF$1*NORMDIST(N24,Yeterlilik!$N$25,Yeterlilik!$N$30,FALSE))</f>
      </c>
      <c r="X24">
        <f>IF(23&gt;Yeterlilik!$N$24,"",SMALL($B$2:$B$126,23))</f>
      </c>
      <c r="Y24">
        <f>IF(X24="","",NORMSINV((23-0.375)/(Yeterlilik!$N$24+0.25)))</f>
      </c>
      <c r="AH24">
        <f>IF(X24="","",NORMSDIST((X24-Yeterlilik!$N$25)/Yeterlilik!$N$30))</f>
      </c>
      <c r="AI24">
        <f>IF(OR(X24="",AH24&lt;=0,AH24&gt;=1),0,(23*2-1)*(LN(AH24)+LN(1-INDEX($AH$2:$AH$126,Yeterlilik!$N$24+1-23))))</f>
      </c>
      <c r="AM24">
        <f t="shared" si="0"/>
      </c>
      <c r="AS24">
        <f t="shared" si="2"/>
      </c>
      <c r="AT24">
        <f t="shared" si="3"/>
      </c>
      <c r="AZ24">
        <f t="shared" si="4"/>
      </c>
      <c r="BB24">
        <f t="shared" si="5"/>
      </c>
    </row>
    <row r="25" spans="1:54" x14ac:dyDescent="0.3">
      <c r="A25">
        <f>IF(B25="","",24)</f>
      </c>
      <c r="B25">
        <f>IF(Yeterlilik!$B$32="","",Yeterlilik!$B$32)</f>
      </c>
      <c r="K25">
        <f>$AD$1+11*$AF$1</f>
      </c>
      <c r="L25">
        <f>COUNTIFS($B$2:$B$126,"&gt;="&amp;$AD$1+11*$AF$1,$B$2:$B$126,"&lt;"&amp;$AD$1+12*$AF$1)</f>
      </c>
      <c r="N25">
        <f>$AD$1+23*(($AE$1-$AD$1)/119)</f>
      </c>
      <c r="O25">
        <f>IF(Yeterlilik!$N$30=0,0,Yeterlilik!$N$24*$AF$1*NORMDIST(N25,Yeterlilik!$N$25,Yeterlilik!$N$30,FALSE))</f>
      </c>
      <c r="X25">
        <f>IF(24&gt;Yeterlilik!$N$24,"",SMALL($B$2:$B$126,24))</f>
      </c>
      <c r="Y25">
        <f>IF(X25="","",NORMSINV((24-0.375)/(Yeterlilik!$N$24+0.25)))</f>
      </c>
      <c r="AH25">
        <f>IF(X25="","",NORMSDIST((X25-Yeterlilik!$N$25)/Yeterlilik!$N$30))</f>
      </c>
      <c r="AI25">
        <f>IF(OR(X25="",AH25&lt;=0,AH25&gt;=1),0,(24*2-1)*(LN(AH25)+LN(1-INDEX($AH$2:$AH$126,Yeterlilik!$N$24+1-24))))</f>
      </c>
      <c r="AM25">
        <f t="shared" si="0"/>
      </c>
      <c r="AS25">
        <f t="shared" si="2"/>
      </c>
      <c r="AT25">
        <f t="shared" si="3"/>
      </c>
      <c r="AZ25">
        <f t="shared" si="4"/>
      </c>
      <c r="BB25">
        <f t="shared" si="5"/>
      </c>
    </row>
    <row r="26" spans="1:54" x14ac:dyDescent="0.3">
      <c r="A26">
        <f>IF(B26="","",25)</f>
      </c>
      <c r="B26">
        <f>IF(Yeterlilik!$B$33="","",Yeterlilik!$B$33)</f>
      </c>
      <c r="K26">
        <f>$AD$1+12*$AF$1</f>
      </c>
      <c r="L26">
        <f>COUNTIFS($B$2:$B$126,"&gt;="&amp;$AD$1+11*$AF$1,$B$2:$B$126,"&lt;"&amp;$AD$1+12*$AF$1)</f>
      </c>
      <c r="N26">
        <f>$AD$1+24*(($AE$1-$AD$1)/119)</f>
      </c>
      <c r="O26">
        <f>IF(Yeterlilik!$N$30=0,0,Yeterlilik!$N$24*$AF$1*NORMDIST(N26,Yeterlilik!$N$25,Yeterlilik!$N$30,FALSE))</f>
      </c>
      <c r="X26">
        <f>IF(25&gt;Yeterlilik!$N$24,"",SMALL($B$2:$B$126,25))</f>
      </c>
      <c r="Y26">
        <f>IF(X26="","",NORMSINV((25-0.375)/(Yeterlilik!$N$24+0.25)))</f>
      </c>
      <c r="AH26">
        <f>IF(X26="","",NORMSDIST((X26-Yeterlilik!$N$25)/Yeterlilik!$N$30))</f>
      </c>
      <c r="AI26">
        <f>IF(OR(X26="",AH26&lt;=0,AH26&gt;=1),0,(25*2-1)*(LN(AH26)+LN(1-INDEX($AH$2:$AH$126,Yeterlilik!$N$24+1-25))))</f>
      </c>
      <c r="AM26">
        <f t="shared" si="0"/>
      </c>
      <c r="AS26">
        <f t="shared" si="2"/>
      </c>
      <c r="AT26">
        <f t="shared" si="3"/>
      </c>
      <c r="AZ26">
        <f t="shared" si="4"/>
      </c>
      <c r="BB26">
        <f t="shared" si="5"/>
      </c>
    </row>
    <row r="27" spans="1:54" x14ac:dyDescent="0.3">
      <c r="A27">
        <f>IF(B27="","",26)</f>
      </c>
      <c r="B27">
        <f>IF(Yeterlilik!$B$34="","",Yeterlilik!$B$34)</f>
      </c>
      <c r="K27">
        <f>$AD$1+12*$AF$1</f>
      </c>
      <c r="L27">
        <f>COUNTIFS($B$2:$B$126,"&gt;="&amp;$AD$1+12*$AF$1,$B$2:$B$126,"&lt;"&amp;$AD$1+13*$AF$1)</f>
      </c>
      <c r="N27">
        <f>$AD$1+25*(($AE$1-$AD$1)/119)</f>
      </c>
      <c r="O27">
        <f>IF(Yeterlilik!$N$30=0,0,Yeterlilik!$N$24*$AF$1*NORMDIST(N27,Yeterlilik!$N$25,Yeterlilik!$N$30,FALSE))</f>
      </c>
      <c r="X27">
        <f>IF(26&gt;Yeterlilik!$N$24,"",SMALL($B$2:$B$126,26))</f>
      </c>
      <c r="Y27">
        <f>IF(X27="","",NORMSINV((26-0.375)/(Yeterlilik!$N$24+0.25)))</f>
      </c>
      <c r="AH27">
        <f>IF(X27="","",NORMSDIST((X27-Yeterlilik!$N$25)/Yeterlilik!$N$30))</f>
      </c>
      <c r="AI27">
        <f>IF(OR(X27="",AH27&lt;=0,AH27&gt;=1),0,(26*2-1)*(LN(AH27)+LN(1-INDEX($AH$2:$AH$126,Yeterlilik!$N$24+1-26))))</f>
      </c>
      <c r="AM27">
        <f t="shared" si="0"/>
      </c>
      <c r="AS27">
        <f t="shared" si="2"/>
      </c>
      <c r="AT27">
        <f t="shared" si="3"/>
      </c>
      <c r="AZ27">
        <f t="shared" si="4"/>
      </c>
      <c r="BB27">
        <f t="shared" si="5"/>
      </c>
    </row>
    <row r="28" spans="1:54" x14ac:dyDescent="0.3">
      <c r="A28">
        <f>IF(B28="","",27)</f>
      </c>
      <c r="B28">
        <f>IF(Yeterlilik!$B$35="","",Yeterlilik!$B$35)</f>
      </c>
      <c r="K28">
        <f>$AD$1+13*$AF$1</f>
      </c>
      <c r="L28">
        <f>COUNTIFS($B$2:$B$126,"&gt;="&amp;$AD$1+12*$AF$1,$B$2:$B$126,"&lt;"&amp;$AD$1+13*$AF$1)</f>
      </c>
      <c r="N28">
        <f>$AD$1+26*(($AE$1-$AD$1)/119)</f>
      </c>
      <c r="O28">
        <f>IF(Yeterlilik!$N$30=0,0,Yeterlilik!$N$24*$AF$1*NORMDIST(N28,Yeterlilik!$N$25,Yeterlilik!$N$30,FALSE))</f>
      </c>
      <c r="X28">
        <f>IF(27&gt;Yeterlilik!$N$24,"",SMALL($B$2:$B$126,27))</f>
      </c>
      <c r="Y28">
        <f>IF(X28="","",NORMSINV((27-0.375)/(Yeterlilik!$N$24+0.25)))</f>
      </c>
      <c r="AH28">
        <f>IF(X28="","",NORMSDIST((X28-Yeterlilik!$N$25)/Yeterlilik!$N$30))</f>
      </c>
      <c r="AI28">
        <f>IF(OR(X28="",AH28&lt;=0,AH28&gt;=1),0,(27*2-1)*(LN(AH28)+LN(1-INDEX($AH$2:$AH$126,Yeterlilik!$N$24+1-27))))</f>
      </c>
      <c r="AM28">
        <f t="shared" si="0"/>
      </c>
      <c r="AS28">
        <f t="shared" si="2"/>
      </c>
      <c r="AT28">
        <f t="shared" si="3"/>
      </c>
      <c r="AZ28">
        <f t="shared" si="4"/>
      </c>
      <c r="BB28">
        <f t="shared" si="5"/>
      </c>
    </row>
    <row r="29" spans="1:54" x14ac:dyDescent="0.3">
      <c r="A29">
        <f>IF(B29="","",28)</f>
      </c>
      <c r="B29">
        <f>IF(Yeterlilik!$B$36="","",Yeterlilik!$B$36)</f>
      </c>
      <c r="K29">
        <f>$AD$1+13*$AF$1</f>
      </c>
      <c r="L29">
        <f>COUNTIFS($B$2:$B$126,"&gt;="&amp;$AD$1+13*$AF$1,$B$2:$B$126,"&lt;"&amp;$AD$1+14*$AF$1)</f>
      </c>
      <c r="N29">
        <f>$AD$1+27*(($AE$1-$AD$1)/119)</f>
      </c>
      <c r="O29">
        <f>IF(Yeterlilik!$N$30=0,0,Yeterlilik!$N$24*$AF$1*NORMDIST(N29,Yeterlilik!$N$25,Yeterlilik!$N$30,FALSE))</f>
      </c>
      <c r="X29">
        <f>IF(28&gt;Yeterlilik!$N$24,"",SMALL($B$2:$B$126,28))</f>
      </c>
      <c r="Y29">
        <f>IF(X29="","",NORMSINV((28-0.375)/(Yeterlilik!$N$24+0.25)))</f>
      </c>
      <c r="AH29">
        <f>IF(X29="","",NORMSDIST((X29-Yeterlilik!$N$25)/Yeterlilik!$N$30))</f>
      </c>
      <c r="AI29">
        <f>IF(OR(X29="",AH29&lt;=0,AH29&gt;=1),0,(28*2-1)*(LN(AH29)+LN(1-INDEX($AH$2:$AH$126,Yeterlilik!$N$24+1-28))))</f>
      </c>
      <c r="AM29">
        <f t="shared" si="0"/>
      </c>
      <c r="AS29">
        <f t="shared" si="2"/>
      </c>
      <c r="AT29">
        <f t="shared" si="3"/>
      </c>
      <c r="AZ29">
        <f t="shared" si="4"/>
      </c>
      <c r="BB29">
        <f t="shared" si="5"/>
      </c>
    </row>
    <row r="30" spans="1:54" x14ac:dyDescent="0.3">
      <c r="A30">
        <f>IF(B30="","",29)</f>
      </c>
      <c r="B30">
        <f>IF(Yeterlilik!$B$37="","",Yeterlilik!$B$37)</f>
      </c>
      <c r="K30">
        <f>$AD$1+14*$AF$1</f>
      </c>
      <c r="L30">
        <f>COUNTIFS($B$2:$B$126,"&gt;="&amp;$AD$1+13*$AF$1,$B$2:$B$126,"&lt;"&amp;$AD$1+14*$AF$1)</f>
      </c>
      <c r="N30">
        <f>$AD$1+28*(($AE$1-$AD$1)/119)</f>
      </c>
      <c r="O30">
        <f>IF(Yeterlilik!$N$30=0,0,Yeterlilik!$N$24*$AF$1*NORMDIST(N30,Yeterlilik!$N$25,Yeterlilik!$N$30,FALSE))</f>
      </c>
      <c r="X30">
        <f>IF(29&gt;Yeterlilik!$N$24,"",SMALL($B$2:$B$126,29))</f>
      </c>
      <c r="Y30">
        <f>IF(X30="","",NORMSINV((29-0.375)/(Yeterlilik!$N$24+0.25)))</f>
      </c>
      <c r="AH30">
        <f>IF(X30="","",NORMSDIST((X30-Yeterlilik!$N$25)/Yeterlilik!$N$30))</f>
      </c>
      <c r="AI30">
        <f>IF(OR(X30="",AH30&lt;=0,AH30&gt;=1),0,(29*2-1)*(LN(AH30)+LN(1-INDEX($AH$2:$AH$126,Yeterlilik!$N$24+1-29))))</f>
      </c>
      <c r="AM30">
        <f t="shared" si="0"/>
      </c>
      <c r="AS30">
        <f t="shared" si="2"/>
      </c>
      <c r="AT30">
        <f t="shared" si="3"/>
      </c>
      <c r="AZ30">
        <f t="shared" si="4"/>
      </c>
      <c r="BB30">
        <f t="shared" si="5"/>
      </c>
    </row>
    <row r="31" spans="1:54" x14ac:dyDescent="0.3">
      <c r="A31">
        <f>IF(B31="","",30)</f>
      </c>
      <c r="B31">
        <f>IF(Yeterlilik!$B$38="","",Yeterlilik!$B$38)</f>
      </c>
      <c r="K31">
        <f>$AD$1+14*$AF$1</f>
      </c>
      <c r="L31">
        <f>COUNTIFS($B$2:$B$126,"&gt;="&amp;$AD$1+14*$AF$1,$B$2:$B$126,"&lt;"&amp;$AD$1+15*$AF$1)</f>
      </c>
      <c r="N31">
        <f>$AD$1+29*(($AE$1-$AD$1)/119)</f>
      </c>
      <c r="O31">
        <f>IF(Yeterlilik!$N$30=0,0,Yeterlilik!$N$24*$AF$1*NORMDIST(N31,Yeterlilik!$N$25,Yeterlilik!$N$30,FALSE))</f>
      </c>
      <c r="X31">
        <f>IF(30&gt;Yeterlilik!$N$24,"",SMALL($B$2:$B$126,30))</f>
      </c>
      <c r="Y31">
        <f>IF(X31="","",NORMSINV((30-0.375)/(Yeterlilik!$N$24+0.25)))</f>
      </c>
      <c r="AH31">
        <f>IF(X31="","",NORMSDIST((X31-Yeterlilik!$N$25)/Yeterlilik!$N$30))</f>
      </c>
      <c r="AI31">
        <f>IF(OR(X31="",AH31&lt;=0,AH31&gt;=1),0,(30*2-1)*(LN(AH31)+LN(1-INDEX($AH$2:$AH$126,Yeterlilik!$N$24+1-30))))</f>
      </c>
      <c r="AM31">
        <f t="shared" si="0"/>
      </c>
      <c r="AS31">
        <f t="shared" si="2"/>
      </c>
      <c r="AT31">
        <f t="shared" si="3"/>
      </c>
      <c r="AZ31">
        <f t="shared" si="4"/>
      </c>
      <c r="BB31">
        <f t="shared" si="5"/>
      </c>
    </row>
    <row r="32" spans="1:54" x14ac:dyDescent="0.3">
      <c r="A32">
        <f>IF(B32="","",31)</f>
      </c>
      <c r="B32">
        <f>IF(Yeterlilik!$B$39="","",Yeterlilik!$B$39)</f>
      </c>
      <c r="K32">
        <f>$AD$1+15*$AF$1</f>
      </c>
      <c r="L32">
        <f>COUNTIFS($B$2:$B$126,"&gt;="&amp;$AD$1+14*$AF$1,$B$2:$B$126,"&lt;"&amp;$AD$1+15*$AF$1)</f>
      </c>
      <c r="N32">
        <f>$AD$1+30*(($AE$1-$AD$1)/119)</f>
      </c>
      <c r="O32">
        <f>IF(Yeterlilik!$N$30=0,0,Yeterlilik!$N$24*$AF$1*NORMDIST(N32,Yeterlilik!$N$25,Yeterlilik!$N$30,FALSE))</f>
      </c>
      <c r="X32">
        <f>IF(31&gt;Yeterlilik!$N$24,"",SMALL($B$2:$B$126,31))</f>
      </c>
      <c r="Y32">
        <f>IF(X32="","",NORMSINV((31-0.375)/(Yeterlilik!$N$24+0.25)))</f>
      </c>
      <c r="AH32">
        <f>IF(X32="","",NORMSDIST((X32-Yeterlilik!$N$25)/Yeterlilik!$N$30))</f>
      </c>
      <c r="AI32">
        <f>IF(OR(X32="",AH32&lt;=0,AH32&gt;=1),0,(31*2-1)*(LN(AH32)+LN(1-INDEX($AH$2:$AH$126,Yeterlilik!$N$24+1-31))))</f>
      </c>
      <c r="AM32">
        <f t="shared" si="0"/>
      </c>
      <c r="AS32">
        <f t="shared" si="2"/>
      </c>
      <c r="AT32">
        <f t="shared" si="3"/>
      </c>
      <c r="AZ32">
        <f t="shared" si="4"/>
      </c>
      <c r="BB32">
        <f t="shared" si="5"/>
      </c>
    </row>
    <row r="33" spans="1:54" x14ac:dyDescent="0.3">
      <c r="A33">
        <f>IF(B33="","",32)</f>
      </c>
      <c r="B33">
        <f>IF(Yeterlilik!$B$40="","",Yeterlilik!$B$40)</f>
      </c>
      <c r="K33">
        <f>$AD$1+15*$AF$1</f>
      </c>
      <c r="L33">
        <f>0</f>
      </c>
      <c r="N33">
        <f>$AD$1+31*(($AE$1-$AD$1)/119)</f>
      </c>
      <c r="O33">
        <f>IF(Yeterlilik!$N$30=0,0,Yeterlilik!$N$24*$AF$1*NORMDIST(N33,Yeterlilik!$N$25,Yeterlilik!$N$30,FALSE))</f>
      </c>
      <c r="X33">
        <f>IF(32&gt;Yeterlilik!$N$24,"",SMALL($B$2:$B$126,32))</f>
      </c>
      <c r="Y33">
        <f>IF(X33="","",NORMSINV((32-0.375)/(Yeterlilik!$N$24+0.25)))</f>
      </c>
      <c r="AH33">
        <f>IF(X33="","",NORMSDIST((X33-Yeterlilik!$N$25)/Yeterlilik!$N$30))</f>
      </c>
      <c r="AI33">
        <f>IF(OR(X33="",AH33&lt;=0,AH33&gt;=1),0,(32*2-1)*(LN(AH33)+LN(1-INDEX($AH$2:$AH$126,Yeterlilik!$N$24+1-32))))</f>
      </c>
      <c r="AM33">
        <f t="shared" si="0"/>
      </c>
      <c r="AS33">
        <f t="shared" si="2"/>
      </c>
      <c r="AT33">
        <f t="shared" si="3"/>
      </c>
      <c r="AZ33">
        <f t="shared" si="4"/>
      </c>
      <c r="BB33">
        <f t="shared" si="5"/>
      </c>
    </row>
    <row r="34" spans="1:54" x14ac:dyDescent="0.3">
      <c r="A34">
        <f>IF(B34="","",33)</f>
      </c>
      <c r="B34">
        <f>IF(Yeterlilik!$B$41="","",Yeterlilik!$B$41)</f>
      </c>
      <c r="K34">
        <f>NA()</f>
      </c>
      <c r="L34">
        <f>NA()</f>
      </c>
      <c r="N34">
        <f>$AD$1+32*(($AE$1-$AD$1)/119)</f>
      </c>
      <c r="O34">
        <f>IF(Yeterlilik!$N$30=0,0,Yeterlilik!$N$24*$AF$1*NORMDIST(N34,Yeterlilik!$N$25,Yeterlilik!$N$30,FALSE))</f>
      </c>
      <c r="X34">
        <f>IF(33&gt;Yeterlilik!$N$24,"",SMALL($B$2:$B$126,33))</f>
      </c>
      <c r="Y34">
        <f>IF(X34="","",NORMSINV((33-0.375)/(Yeterlilik!$N$24+0.25)))</f>
      </c>
      <c r="AH34">
        <f>IF(X34="","",NORMSDIST((X34-Yeterlilik!$N$25)/Yeterlilik!$N$30))</f>
      </c>
      <c r="AI34">
        <f>IF(OR(X34="",AH34&lt;=0,AH34&gt;=1),0,(33*2-1)*(LN(AH34)+LN(1-INDEX($AH$2:$AH$126,Yeterlilik!$N$24+1-33))))</f>
      </c>
      <c r="AM34">
        <f t="shared" ref="AM34:AM65" si="6">IF(B34="",NA(),B34-$AM$1)</f>
      </c>
      <c r="AS34">
        <f t="shared" si="2"/>
      </c>
      <c r="AT34">
        <f t="shared" ref="AT34:AT65" si="7">N34-$AM$1</f>
      </c>
      <c r="AZ34">
        <f t="shared" ref="AZ34:AZ65" si="8">IF(X34="",NA(),X34-$AM$1)</f>
      </c>
      <c r="BB34">
        <f t="shared" ref="BB34:BB65" si="9">IF(Y34="",NA(),Y34)</f>
      </c>
    </row>
    <row r="35" spans="1:54" x14ac:dyDescent="0.3">
      <c r="A35">
        <f>IF(B35="","",34)</f>
      </c>
      <c r="B35">
        <f>IF(Yeterlilik!$B$42="","",Yeterlilik!$B$42)</f>
      </c>
      <c r="K35">
        <f>NA()</f>
      </c>
      <c r="L35">
        <f>NA()</f>
      </c>
      <c r="N35">
        <f>$AD$1+33*(($AE$1-$AD$1)/119)</f>
      </c>
      <c r="O35">
        <f>IF(Yeterlilik!$N$30=0,0,Yeterlilik!$N$24*$AF$1*NORMDIST(N35,Yeterlilik!$N$25,Yeterlilik!$N$30,FALSE))</f>
      </c>
      <c r="X35">
        <f>IF(34&gt;Yeterlilik!$N$24,"",SMALL($B$2:$B$126,34))</f>
      </c>
      <c r="Y35">
        <f>IF(X35="","",NORMSINV((34-0.375)/(Yeterlilik!$N$24+0.25)))</f>
      </c>
      <c r="AH35">
        <f>IF(X35="","",NORMSDIST((X35-Yeterlilik!$N$25)/Yeterlilik!$N$30))</f>
      </c>
      <c r="AI35">
        <f>IF(OR(X35="",AH35&lt;=0,AH35&gt;=1),0,(34*2-1)*(LN(AH35)+LN(1-INDEX($AH$2:$AH$126,Yeterlilik!$N$24+1-34))))</f>
      </c>
      <c r="AM35">
        <f t="shared" si="6"/>
      </c>
      <c r="AS35">
        <f t="shared" si="2"/>
      </c>
      <c r="AT35">
        <f t="shared" si="7"/>
      </c>
      <c r="AZ35">
        <f t="shared" si="8"/>
      </c>
      <c r="BB35">
        <f t="shared" si="9"/>
      </c>
    </row>
    <row r="36" spans="1:54" x14ac:dyDescent="0.3">
      <c r="A36">
        <f>IF(B36="","",35)</f>
      </c>
      <c r="B36">
        <f>IF(Yeterlilik!$B$43="","",Yeterlilik!$B$43)</f>
      </c>
      <c r="K36">
        <f>NA()</f>
      </c>
      <c r="L36">
        <f>NA()</f>
      </c>
      <c r="N36">
        <f>$AD$1+34*(($AE$1-$AD$1)/119)</f>
      </c>
      <c r="O36">
        <f>IF(Yeterlilik!$N$30=0,0,Yeterlilik!$N$24*$AF$1*NORMDIST(N36,Yeterlilik!$N$25,Yeterlilik!$N$30,FALSE))</f>
      </c>
      <c r="X36">
        <f>IF(35&gt;Yeterlilik!$N$24,"",SMALL($B$2:$B$126,35))</f>
      </c>
      <c r="Y36">
        <f>IF(X36="","",NORMSINV((35-0.375)/(Yeterlilik!$N$24+0.25)))</f>
      </c>
      <c r="AH36">
        <f>IF(X36="","",NORMSDIST((X36-Yeterlilik!$N$25)/Yeterlilik!$N$30))</f>
      </c>
      <c r="AI36">
        <f>IF(OR(X36="",AH36&lt;=0,AH36&gt;=1),0,(35*2-1)*(LN(AH36)+LN(1-INDEX($AH$2:$AH$126,Yeterlilik!$N$24+1-35))))</f>
      </c>
      <c r="AM36">
        <f t="shared" si="6"/>
      </c>
      <c r="AS36">
        <f t="shared" si="2"/>
      </c>
      <c r="AT36">
        <f t="shared" si="7"/>
      </c>
      <c r="AZ36">
        <f t="shared" si="8"/>
      </c>
      <c r="BB36">
        <f t="shared" si="9"/>
      </c>
    </row>
    <row r="37" spans="1:54" x14ac:dyDescent="0.3">
      <c r="A37">
        <f>IF(B37="","",36)</f>
      </c>
      <c r="B37">
        <f>IF(Yeterlilik!$B$44="","",Yeterlilik!$B$44)</f>
      </c>
      <c r="K37">
        <f>NA()</f>
      </c>
      <c r="L37">
        <f>NA()</f>
      </c>
      <c r="N37">
        <f>$AD$1+35*(($AE$1-$AD$1)/119)</f>
      </c>
      <c r="O37">
        <f>IF(Yeterlilik!$N$30=0,0,Yeterlilik!$N$24*$AF$1*NORMDIST(N37,Yeterlilik!$N$25,Yeterlilik!$N$30,FALSE))</f>
      </c>
      <c r="X37">
        <f>IF(36&gt;Yeterlilik!$N$24,"",SMALL($B$2:$B$126,36))</f>
      </c>
      <c r="Y37">
        <f>IF(X37="","",NORMSINV((36-0.375)/(Yeterlilik!$N$24+0.25)))</f>
      </c>
      <c r="AH37">
        <f>IF(X37="","",NORMSDIST((X37-Yeterlilik!$N$25)/Yeterlilik!$N$30))</f>
      </c>
      <c r="AI37">
        <f>IF(OR(X37="",AH37&lt;=0,AH37&gt;=1),0,(36*2-1)*(LN(AH37)+LN(1-INDEX($AH$2:$AH$126,Yeterlilik!$N$24+1-36))))</f>
      </c>
      <c r="AM37">
        <f t="shared" si="6"/>
      </c>
      <c r="AS37">
        <f t="shared" si="2"/>
      </c>
      <c r="AT37">
        <f t="shared" si="7"/>
      </c>
      <c r="AZ37">
        <f t="shared" si="8"/>
      </c>
      <c r="BB37">
        <f t="shared" si="9"/>
      </c>
    </row>
    <row r="38" spans="1:54" x14ac:dyDescent="0.3">
      <c r="A38">
        <f>IF(B38="","",37)</f>
      </c>
      <c r="B38">
        <f>IF(Yeterlilik!$B$45="","",Yeterlilik!$B$45)</f>
      </c>
      <c r="K38">
        <f>NA()</f>
      </c>
      <c r="L38">
        <f>NA()</f>
      </c>
      <c r="N38">
        <f>$AD$1+36*(($AE$1-$AD$1)/119)</f>
      </c>
      <c r="O38">
        <f>IF(Yeterlilik!$N$30=0,0,Yeterlilik!$N$24*$AF$1*NORMDIST(N38,Yeterlilik!$N$25,Yeterlilik!$N$30,FALSE))</f>
      </c>
      <c r="X38">
        <f>IF(37&gt;Yeterlilik!$N$24,"",SMALL($B$2:$B$126,37))</f>
      </c>
      <c r="Y38">
        <f>IF(X38="","",NORMSINV((37-0.375)/(Yeterlilik!$N$24+0.25)))</f>
      </c>
      <c r="AH38">
        <f>IF(X38="","",NORMSDIST((X38-Yeterlilik!$N$25)/Yeterlilik!$N$30))</f>
      </c>
      <c r="AI38">
        <f>IF(OR(X38="",AH38&lt;=0,AH38&gt;=1),0,(37*2-1)*(LN(AH38)+LN(1-INDEX($AH$2:$AH$126,Yeterlilik!$N$24+1-37))))</f>
      </c>
      <c r="AM38">
        <f t="shared" si="6"/>
      </c>
      <c r="AS38">
        <f t="shared" si="2"/>
      </c>
      <c r="AT38">
        <f t="shared" si="7"/>
      </c>
      <c r="AZ38">
        <f t="shared" si="8"/>
      </c>
      <c r="BB38">
        <f t="shared" si="9"/>
      </c>
    </row>
    <row r="39" spans="1:54" x14ac:dyDescent="0.3">
      <c r="A39">
        <f>IF(B39="","",38)</f>
      </c>
      <c r="B39">
        <f>IF(Yeterlilik!$B$46="","",Yeterlilik!$B$46)</f>
      </c>
      <c r="K39">
        <f>NA()</f>
      </c>
      <c r="L39">
        <f>NA()</f>
      </c>
      <c r="N39">
        <f>$AD$1+37*(($AE$1-$AD$1)/119)</f>
      </c>
      <c r="O39">
        <f>IF(Yeterlilik!$N$30=0,0,Yeterlilik!$N$24*$AF$1*NORMDIST(N39,Yeterlilik!$N$25,Yeterlilik!$N$30,FALSE))</f>
      </c>
      <c r="X39">
        <f>IF(38&gt;Yeterlilik!$N$24,"",SMALL($B$2:$B$126,38))</f>
      </c>
      <c r="Y39">
        <f>IF(X39="","",NORMSINV((38-0.375)/(Yeterlilik!$N$24+0.25)))</f>
      </c>
      <c r="AH39">
        <f>IF(X39="","",NORMSDIST((X39-Yeterlilik!$N$25)/Yeterlilik!$N$30))</f>
      </c>
      <c r="AI39">
        <f>IF(OR(X39="",AH39&lt;=0,AH39&gt;=1),0,(38*2-1)*(LN(AH39)+LN(1-INDEX($AH$2:$AH$126,Yeterlilik!$N$24+1-38))))</f>
      </c>
      <c r="AM39">
        <f t="shared" si="6"/>
      </c>
      <c r="AS39">
        <f t="shared" si="2"/>
      </c>
      <c r="AT39">
        <f t="shared" si="7"/>
      </c>
      <c r="AZ39">
        <f t="shared" si="8"/>
      </c>
      <c r="BB39">
        <f t="shared" si="9"/>
      </c>
    </row>
    <row r="40" spans="1:54" x14ac:dyDescent="0.3">
      <c r="A40">
        <f>IF(B40="","",39)</f>
      </c>
      <c r="B40">
        <f>IF(Yeterlilik!$B$47="","",Yeterlilik!$B$47)</f>
      </c>
      <c r="K40">
        <f>NA()</f>
      </c>
      <c r="L40">
        <f>NA()</f>
      </c>
      <c r="N40">
        <f>$AD$1+38*(($AE$1-$AD$1)/119)</f>
      </c>
      <c r="O40">
        <f>IF(Yeterlilik!$N$30=0,0,Yeterlilik!$N$24*$AF$1*NORMDIST(N40,Yeterlilik!$N$25,Yeterlilik!$N$30,FALSE))</f>
      </c>
      <c r="X40">
        <f>IF(39&gt;Yeterlilik!$N$24,"",SMALL($B$2:$B$126,39))</f>
      </c>
      <c r="Y40">
        <f>IF(X40="","",NORMSINV((39-0.375)/(Yeterlilik!$N$24+0.25)))</f>
      </c>
      <c r="AH40">
        <f>IF(X40="","",NORMSDIST((X40-Yeterlilik!$N$25)/Yeterlilik!$N$30))</f>
      </c>
      <c r="AI40">
        <f>IF(OR(X40="",AH40&lt;=0,AH40&gt;=1),0,(39*2-1)*(LN(AH40)+LN(1-INDEX($AH$2:$AH$126,Yeterlilik!$N$24+1-39))))</f>
      </c>
      <c r="AM40">
        <f t="shared" si="6"/>
      </c>
      <c r="AS40">
        <f t="shared" si="2"/>
      </c>
      <c r="AT40">
        <f t="shared" si="7"/>
      </c>
      <c r="AZ40">
        <f t="shared" si="8"/>
      </c>
      <c r="BB40">
        <f t="shared" si="9"/>
      </c>
    </row>
    <row r="41" spans="1:54" x14ac:dyDescent="0.3">
      <c r="A41">
        <f>IF(B41="","",40)</f>
      </c>
      <c r="B41">
        <f>IF(Yeterlilik!$B$48="","",Yeterlilik!$B$48)</f>
      </c>
      <c r="K41">
        <f>NA()</f>
      </c>
      <c r="L41">
        <f>NA()</f>
      </c>
      <c r="N41">
        <f>$AD$1+39*(($AE$1-$AD$1)/119)</f>
      </c>
      <c r="O41">
        <f>IF(Yeterlilik!$N$30=0,0,Yeterlilik!$N$24*$AF$1*NORMDIST(N41,Yeterlilik!$N$25,Yeterlilik!$N$30,FALSE))</f>
      </c>
      <c r="X41">
        <f>IF(40&gt;Yeterlilik!$N$24,"",SMALL($B$2:$B$126,40))</f>
      </c>
      <c r="Y41">
        <f>IF(X41="","",NORMSINV((40-0.375)/(Yeterlilik!$N$24+0.25)))</f>
      </c>
      <c r="AH41">
        <f>IF(X41="","",NORMSDIST((X41-Yeterlilik!$N$25)/Yeterlilik!$N$30))</f>
      </c>
      <c r="AI41">
        <f>IF(OR(X41="",AH41&lt;=0,AH41&gt;=1),0,(40*2-1)*(LN(AH41)+LN(1-INDEX($AH$2:$AH$126,Yeterlilik!$N$24+1-40))))</f>
      </c>
      <c r="AM41">
        <f t="shared" si="6"/>
      </c>
      <c r="AS41">
        <f t="shared" si="2"/>
      </c>
      <c r="AT41">
        <f t="shared" si="7"/>
      </c>
      <c r="AZ41">
        <f t="shared" si="8"/>
      </c>
      <c r="BB41">
        <f t="shared" si="9"/>
      </c>
    </row>
    <row r="42" spans="1:54" x14ac:dyDescent="0.3">
      <c r="A42">
        <f>IF(B42="","",41)</f>
      </c>
      <c r="B42">
        <f>IF(Yeterlilik!$B$49="","",Yeterlilik!$B$49)</f>
      </c>
      <c r="K42">
        <f>NA()</f>
      </c>
      <c r="L42">
        <f>NA()</f>
      </c>
      <c r="N42">
        <f>$AD$1+40*(($AE$1-$AD$1)/119)</f>
      </c>
      <c r="O42">
        <f>IF(Yeterlilik!$N$30=0,0,Yeterlilik!$N$24*$AF$1*NORMDIST(N42,Yeterlilik!$N$25,Yeterlilik!$N$30,FALSE))</f>
      </c>
      <c r="X42">
        <f>IF(41&gt;Yeterlilik!$N$24,"",SMALL($B$2:$B$126,41))</f>
      </c>
      <c r="Y42">
        <f>IF(X42="","",NORMSINV((41-0.375)/(Yeterlilik!$N$24+0.25)))</f>
      </c>
      <c r="AH42">
        <f>IF(X42="","",NORMSDIST((X42-Yeterlilik!$N$25)/Yeterlilik!$N$30))</f>
      </c>
      <c r="AI42">
        <f>IF(OR(X42="",AH42&lt;=0,AH42&gt;=1),0,(41*2-1)*(LN(AH42)+LN(1-INDEX($AH$2:$AH$126,Yeterlilik!$N$24+1-41))))</f>
      </c>
      <c r="AM42">
        <f t="shared" si="6"/>
      </c>
      <c r="AS42">
        <f t="shared" si="2"/>
      </c>
      <c r="AT42">
        <f t="shared" si="7"/>
      </c>
      <c r="AZ42">
        <f t="shared" si="8"/>
      </c>
      <c r="BB42">
        <f t="shared" si="9"/>
      </c>
    </row>
    <row r="43" spans="1:54" x14ac:dyDescent="0.3">
      <c r="A43">
        <f>IF(B43="","",42)</f>
      </c>
      <c r="B43">
        <f>IF(Yeterlilik!$B$50="","",Yeterlilik!$B$50)</f>
      </c>
      <c r="K43">
        <f>NA()</f>
      </c>
      <c r="L43">
        <f>NA()</f>
      </c>
      <c r="N43">
        <f>$AD$1+41*(($AE$1-$AD$1)/119)</f>
      </c>
      <c r="O43">
        <f>IF(Yeterlilik!$N$30=0,0,Yeterlilik!$N$24*$AF$1*NORMDIST(N43,Yeterlilik!$N$25,Yeterlilik!$N$30,FALSE))</f>
      </c>
      <c r="X43">
        <f>IF(42&gt;Yeterlilik!$N$24,"",SMALL($B$2:$B$126,42))</f>
      </c>
      <c r="Y43">
        <f>IF(X43="","",NORMSINV((42-0.375)/(Yeterlilik!$N$24+0.25)))</f>
      </c>
      <c r="AH43">
        <f>IF(X43="","",NORMSDIST((X43-Yeterlilik!$N$25)/Yeterlilik!$N$30))</f>
      </c>
      <c r="AI43">
        <f>IF(OR(X43="",AH43&lt;=0,AH43&gt;=1),0,(42*2-1)*(LN(AH43)+LN(1-INDEX($AH$2:$AH$126,Yeterlilik!$N$24+1-42))))</f>
      </c>
      <c r="AM43">
        <f t="shared" si="6"/>
      </c>
      <c r="AS43">
        <f t="shared" si="2"/>
      </c>
      <c r="AT43">
        <f t="shared" si="7"/>
      </c>
      <c r="AZ43">
        <f t="shared" si="8"/>
      </c>
      <c r="BB43">
        <f t="shared" si="9"/>
      </c>
    </row>
    <row r="44" spans="1:54" x14ac:dyDescent="0.3">
      <c r="A44">
        <f>IF(B44="","",43)</f>
      </c>
      <c r="B44">
        <f>IF(Yeterlilik!$B$51="","",Yeterlilik!$B$51)</f>
      </c>
      <c r="K44">
        <f>NA()</f>
      </c>
      <c r="L44">
        <f>NA()</f>
      </c>
      <c r="N44">
        <f>$AD$1+42*(($AE$1-$AD$1)/119)</f>
      </c>
      <c r="O44">
        <f>IF(Yeterlilik!$N$30=0,0,Yeterlilik!$N$24*$AF$1*NORMDIST(N44,Yeterlilik!$N$25,Yeterlilik!$N$30,FALSE))</f>
      </c>
      <c r="X44">
        <f>IF(43&gt;Yeterlilik!$N$24,"",SMALL($B$2:$B$126,43))</f>
      </c>
      <c r="Y44">
        <f>IF(X44="","",NORMSINV((43-0.375)/(Yeterlilik!$N$24+0.25)))</f>
      </c>
      <c r="AH44">
        <f>IF(X44="","",NORMSDIST((X44-Yeterlilik!$N$25)/Yeterlilik!$N$30))</f>
      </c>
      <c r="AI44">
        <f>IF(OR(X44="",AH44&lt;=0,AH44&gt;=1),0,(43*2-1)*(LN(AH44)+LN(1-INDEX($AH$2:$AH$126,Yeterlilik!$N$24+1-43))))</f>
      </c>
      <c r="AM44">
        <f t="shared" si="6"/>
      </c>
      <c r="AS44">
        <f t="shared" si="2"/>
      </c>
      <c r="AT44">
        <f t="shared" si="7"/>
      </c>
      <c r="AZ44">
        <f t="shared" si="8"/>
      </c>
      <c r="BB44">
        <f t="shared" si="9"/>
      </c>
    </row>
    <row r="45" spans="1:54" x14ac:dyDescent="0.3">
      <c r="A45">
        <f>IF(B45="","",44)</f>
      </c>
      <c r="B45">
        <f>IF(Yeterlilik!$B$52="","",Yeterlilik!$B$52)</f>
      </c>
      <c r="K45">
        <f>NA()</f>
      </c>
      <c r="L45">
        <f>NA()</f>
      </c>
      <c r="N45">
        <f>$AD$1+43*(($AE$1-$AD$1)/119)</f>
      </c>
      <c r="O45">
        <f>IF(Yeterlilik!$N$30=0,0,Yeterlilik!$N$24*$AF$1*NORMDIST(N45,Yeterlilik!$N$25,Yeterlilik!$N$30,FALSE))</f>
      </c>
      <c r="X45">
        <f>IF(44&gt;Yeterlilik!$N$24,"",SMALL($B$2:$B$126,44))</f>
      </c>
      <c r="Y45">
        <f>IF(X45="","",NORMSINV((44-0.375)/(Yeterlilik!$N$24+0.25)))</f>
      </c>
      <c r="AH45">
        <f>IF(X45="","",NORMSDIST((X45-Yeterlilik!$N$25)/Yeterlilik!$N$30))</f>
      </c>
      <c r="AI45">
        <f>IF(OR(X45="",AH45&lt;=0,AH45&gt;=1),0,(44*2-1)*(LN(AH45)+LN(1-INDEX($AH$2:$AH$126,Yeterlilik!$N$24+1-44))))</f>
      </c>
      <c r="AM45">
        <f t="shared" si="6"/>
      </c>
      <c r="AS45">
        <f t="shared" si="2"/>
      </c>
      <c r="AT45">
        <f t="shared" si="7"/>
      </c>
      <c r="AZ45">
        <f t="shared" si="8"/>
      </c>
      <c r="BB45">
        <f t="shared" si="9"/>
      </c>
    </row>
    <row r="46" spans="1:54" x14ac:dyDescent="0.3">
      <c r="A46">
        <f>IF(B46="","",45)</f>
      </c>
      <c r="B46">
        <f>IF(Yeterlilik!$B$53="","",Yeterlilik!$B$53)</f>
      </c>
      <c r="K46">
        <f>NA()</f>
      </c>
      <c r="L46">
        <f>NA()</f>
      </c>
      <c r="N46">
        <f>$AD$1+44*(($AE$1-$AD$1)/119)</f>
      </c>
      <c r="O46">
        <f>IF(Yeterlilik!$N$30=0,0,Yeterlilik!$N$24*$AF$1*NORMDIST(N46,Yeterlilik!$N$25,Yeterlilik!$N$30,FALSE))</f>
      </c>
      <c r="X46">
        <f>IF(45&gt;Yeterlilik!$N$24,"",SMALL($B$2:$B$126,45))</f>
      </c>
      <c r="Y46">
        <f>IF(X46="","",NORMSINV((45-0.375)/(Yeterlilik!$N$24+0.25)))</f>
      </c>
      <c r="AH46">
        <f>IF(X46="","",NORMSDIST((X46-Yeterlilik!$N$25)/Yeterlilik!$N$30))</f>
      </c>
      <c r="AI46">
        <f>IF(OR(X46="",AH46&lt;=0,AH46&gt;=1),0,(45*2-1)*(LN(AH46)+LN(1-INDEX($AH$2:$AH$126,Yeterlilik!$N$24+1-45))))</f>
      </c>
      <c r="AM46">
        <f t="shared" si="6"/>
      </c>
      <c r="AS46">
        <f t="shared" si="2"/>
      </c>
      <c r="AT46">
        <f t="shared" si="7"/>
      </c>
      <c r="AZ46">
        <f t="shared" si="8"/>
      </c>
      <c r="BB46">
        <f t="shared" si="9"/>
      </c>
    </row>
    <row r="47" spans="1:54" x14ac:dyDescent="0.3">
      <c r="A47">
        <f>IF(B47="","",46)</f>
      </c>
      <c r="B47">
        <f>IF(Yeterlilik!$B$54="","",Yeterlilik!$B$54)</f>
      </c>
      <c r="K47">
        <f>NA()</f>
      </c>
      <c r="L47">
        <f>NA()</f>
      </c>
      <c r="N47">
        <f>$AD$1+45*(($AE$1-$AD$1)/119)</f>
      </c>
      <c r="O47">
        <f>IF(Yeterlilik!$N$30=0,0,Yeterlilik!$N$24*$AF$1*NORMDIST(N47,Yeterlilik!$N$25,Yeterlilik!$N$30,FALSE))</f>
      </c>
      <c r="X47">
        <f>IF(46&gt;Yeterlilik!$N$24,"",SMALL($B$2:$B$126,46))</f>
      </c>
      <c r="Y47">
        <f>IF(X47="","",NORMSINV((46-0.375)/(Yeterlilik!$N$24+0.25)))</f>
      </c>
      <c r="AH47">
        <f>IF(X47="","",NORMSDIST((X47-Yeterlilik!$N$25)/Yeterlilik!$N$30))</f>
      </c>
      <c r="AI47">
        <f>IF(OR(X47="",AH47&lt;=0,AH47&gt;=1),0,(46*2-1)*(LN(AH47)+LN(1-INDEX($AH$2:$AH$126,Yeterlilik!$N$24+1-46))))</f>
      </c>
      <c r="AM47">
        <f t="shared" si="6"/>
      </c>
      <c r="AS47">
        <f t="shared" si="2"/>
      </c>
      <c r="AT47">
        <f t="shared" si="7"/>
      </c>
      <c r="AZ47">
        <f t="shared" si="8"/>
      </c>
      <c r="BB47">
        <f t="shared" si="9"/>
      </c>
    </row>
    <row r="48" spans="1:54" x14ac:dyDescent="0.3">
      <c r="A48">
        <f>IF(B48="","",47)</f>
      </c>
      <c r="B48">
        <f>IF(Yeterlilik!$B$55="","",Yeterlilik!$B$55)</f>
      </c>
      <c r="N48">
        <f>$AD$1+46*(($AE$1-$AD$1)/119)</f>
      </c>
      <c r="O48">
        <f>IF(Yeterlilik!$N$30=0,0,Yeterlilik!$N$24*$AF$1*NORMDIST(N48,Yeterlilik!$N$25,Yeterlilik!$N$30,FALSE))</f>
      </c>
      <c r="X48">
        <f>IF(47&gt;Yeterlilik!$N$24,"",SMALL($B$2:$B$126,47))</f>
      </c>
      <c r="Y48">
        <f>IF(X48="","",NORMSINV((47-0.375)/(Yeterlilik!$N$24+0.25)))</f>
      </c>
      <c r="AH48">
        <f>IF(X48="","",NORMSDIST((X48-Yeterlilik!$N$25)/Yeterlilik!$N$30))</f>
      </c>
      <c r="AI48">
        <f>IF(OR(X48="",AH48&lt;=0,AH48&gt;=1),0,(47*2-1)*(LN(AH48)+LN(1-INDEX($AH$2:$AH$126,Yeterlilik!$N$24+1-47))))</f>
      </c>
      <c r="AM48">
        <f t="shared" si="6"/>
      </c>
      <c r="AT48">
        <f t="shared" si="7"/>
      </c>
      <c r="AZ48">
        <f t="shared" si="8"/>
      </c>
      <c r="BB48">
        <f t="shared" si="9"/>
      </c>
    </row>
    <row r="49" spans="1:54" x14ac:dyDescent="0.3">
      <c r="A49">
        <f>IF(B49="","",48)</f>
      </c>
      <c r="B49">
        <f>IF(Yeterlilik!$B$56="","",Yeterlilik!$B$56)</f>
      </c>
      <c r="N49">
        <f>$AD$1+47*(($AE$1-$AD$1)/119)</f>
      </c>
      <c r="O49">
        <f>IF(Yeterlilik!$N$30=0,0,Yeterlilik!$N$24*$AF$1*NORMDIST(N49,Yeterlilik!$N$25,Yeterlilik!$N$30,FALSE))</f>
      </c>
      <c r="X49">
        <f>IF(48&gt;Yeterlilik!$N$24,"",SMALL($B$2:$B$126,48))</f>
      </c>
      <c r="Y49">
        <f>IF(X49="","",NORMSINV((48-0.375)/(Yeterlilik!$N$24+0.25)))</f>
      </c>
      <c r="AH49">
        <f>IF(X49="","",NORMSDIST((X49-Yeterlilik!$N$25)/Yeterlilik!$N$30))</f>
      </c>
      <c r="AI49">
        <f>IF(OR(X49="",AH49&lt;=0,AH49&gt;=1),0,(48*2-1)*(LN(AH49)+LN(1-INDEX($AH$2:$AH$126,Yeterlilik!$N$24+1-48))))</f>
      </c>
      <c r="AM49">
        <f t="shared" si="6"/>
      </c>
      <c r="AT49">
        <f t="shared" si="7"/>
      </c>
      <c r="AZ49">
        <f t="shared" si="8"/>
      </c>
      <c r="BB49">
        <f t="shared" si="9"/>
      </c>
    </row>
    <row r="50" spans="1:54" x14ac:dyDescent="0.3">
      <c r="A50">
        <f>IF(B50="","",49)</f>
      </c>
      <c r="B50">
        <f>IF(Yeterlilik!$B$57="","",Yeterlilik!$B$57)</f>
      </c>
      <c r="N50">
        <f>$AD$1+48*(($AE$1-$AD$1)/119)</f>
      </c>
      <c r="O50">
        <f>IF(Yeterlilik!$N$30=0,0,Yeterlilik!$N$24*$AF$1*NORMDIST(N50,Yeterlilik!$N$25,Yeterlilik!$N$30,FALSE))</f>
      </c>
      <c r="X50">
        <f>IF(49&gt;Yeterlilik!$N$24,"",SMALL($B$2:$B$126,49))</f>
      </c>
      <c r="Y50">
        <f>IF(X50="","",NORMSINV((49-0.375)/(Yeterlilik!$N$24+0.25)))</f>
      </c>
      <c r="AH50">
        <f>IF(X50="","",NORMSDIST((X50-Yeterlilik!$N$25)/Yeterlilik!$N$30))</f>
      </c>
      <c r="AI50">
        <f>IF(OR(X50="",AH50&lt;=0,AH50&gt;=1),0,(49*2-1)*(LN(AH50)+LN(1-INDEX($AH$2:$AH$126,Yeterlilik!$N$24+1-49))))</f>
      </c>
      <c r="AM50">
        <f t="shared" si="6"/>
      </c>
      <c r="AT50">
        <f t="shared" si="7"/>
      </c>
      <c r="AZ50">
        <f t="shared" si="8"/>
      </c>
      <c r="BB50">
        <f t="shared" si="9"/>
      </c>
    </row>
    <row r="51" spans="1:54" x14ac:dyDescent="0.3">
      <c r="A51">
        <f>IF(B51="","",50)</f>
      </c>
      <c r="B51">
        <f>IF(Yeterlilik!$B$58="","",Yeterlilik!$B$58)</f>
      </c>
      <c r="N51">
        <f>$AD$1+49*(($AE$1-$AD$1)/119)</f>
      </c>
      <c r="O51">
        <f>IF(Yeterlilik!$N$30=0,0,Yeterlilik!$N$24*$AF$1*NORMDIST(N51,Yeterlilik!$N$25,Yeterlilik!$N$30,FALSE))</f>
      </c>
      <c r="X51">
        <f>IF(50&gt;Yeterlilik!$N$24,"",SMALL($B$2:$B$126,50))</f>
      </c>
      <c r="Y51">
        <f>IF(X51="","",NORMSINV((50-0.375)/(Yeterlilik!$N$24+0.25)))</f>
      </c>
      <c r="AH51">
        <f>IF(X51="","",NORMSDIST((X51-Yeterlilik!$N$25)/Yeterlilik!$N$30))</f>
      </c>
      <c r="AI51">
        <f>IF(OR(X51="",AH51&lt;=0,AH51&gt;=1),0,(50*2-1)*(LN(AH51)+LN(1-INDEX($AH$2:$AH$126,Yeterlilik!$N$24+1-50))))</f>
      </c>
      <c r="AM51">
        <f t="shared" si="6"/>
      </c>
      <c r="AT51">
        <f t="shared" si="7"/>
      </c>
      <c r="AZ51">
        <f t="shared" si="8"/>
      </c>
      <c r="BB51">
        <f t="shared" si="9"/>
      </c>
    </row>
    <row r="52" spans="1:54" x14ac:dyDescent="0.3">
      <c r="A52">
        <f>IF(B52="","",51)</f>
      </c>
      <c r="B52">
        <f>IF(Yeterlilik!$D$9="","",Yeterlilik!$D$9)</f>
      </c>
      <c r="N52">
        <f>$AD$1+50*(($AE$1-$AD$1)/119)</f>
      </c>
      <c r="O52">
        <f>IF(Yeterlilik!$N$30=0,0,Yeterlilik!$N$24*$AF$1*NORMDIST(N52,Yeterlilik!$N$25,Yeterlilik!$N$30,FALSE))</f>
      </c>
      <c r="X52">
        <f>IF(51&gt;Yeterlilik!$N$24,"",SMALL($B$2:$B$126,51))</f>
      </c>
      <c r="Y52">
        <f>IF(X52="","",NORMSINV((51-0.375)/(Yeterlilik!$N$24+0.25)))</f>
      </c>
      <c r="AH52">
        <f>IF(X52="","",NORMSDIST((X52-Yeterlilik!$N$25)/Yeterlilik!$N$30))</f>
      </c>
      <c r="AI52">
        <f>IF(OR(X52="",AH52&lt;=0,AH52&gt;=1),0,(51*2-1)*(LN(AH52)+LN(1-INDEX($AH$2:$AH$126,Yeterlilik!$N$24+1-51))))</f>
      </c>
      <c r="AM52">
        <f t="shared" si="6"/>
      </c>
      <c r="AT52">
        <f t="shared" si="7"/>
      </c>
      <c r="AZ52">
        <f t="shared" si="8"/>
      </c>
      <c r="BB52">
        <f t="shared" si="9"/>
      </c>
    </row>
    <row r="53" spans="1:54" x14ac:dyDescent="0.3">
      <c r="A53">
        <f>IF(B53="","",52)</f>
      </c>
      <c r="B53">
        <f>IF(Yeterlilik!$D$10="","",Yeterlilik!$D$10)</f>
      </c>
      <c r="N53">
        <f>$AD$1+51*(($AE$1-$AD$1)/119)</f>
      </c>
      <c r="O53">
        <f>IF(Yeterlilik!$N$30=0,0,Yeterlilik!$N$24*$AF$1*NORMDIST(N53,Yeterlilik!$N$25,Yeterlilik!$N$30,FALSE))</f>
      </c>
      <c r="X53">
        <f>IF(52&gt;Yeterlilik!$N$24,"",SMALL($B$2:$B$126,52))</f>
      </c>
      <c r="Y53">
        <f>IF(X53="","",NORMSINV((52-0.375)/(Yeterlilik!$N$24+0.25)))</f>
      </c>
      <c r="AH53">
        <f>IF(X53="","",NORMSDIST((X53-Yeterlilik!$N$25)/Yeterlilik!$N$30))</f>
      </c>
      <c r="AI53">
        <f>IF(OR(X53="",AH53&lt;=0,AH53&gt;=1),0,(52*2-1)*(LN(AH53)+LN(1-INDEX($AH$2:$AH$126,Yeterlilik!$N$24+1-52))))</f>
      </c>
      <c r="AM53">
        <f t="shared" si="6"/>
      </c>
      <c r="AT53">
        <f t="shared" si="7"/>
      </c>
      <c r="AZ53">
        <f t="shared" si="8"/>
      </c>
      <c r="BB53">
        <f t="shared" si="9"/>
      </c>
    </row>
    <row r="54" spans="1:54" x14ac:dyDescent="0.3">
      <c r="A54">
        <f>IF(B54="","",53)</f>
      </c>
      <c r="B54">
        <f>IF(Yeterlilik!$D$11="","",Yeterlilik!$D$11)</f>
      </c>
      <c r="N54">
        <f>$AD$1+52*(($AE$1-$AD$1)/119)</f>
      </c>
      <c r="O54">
        <f>IF(Yeterlilik!$N$30=0,0,Yeterlilik!$N$24*$AF$1*NORMDIST(N54,Yeterlilik!$N$25,Yeterlilik!$N$30,FALSE))</f>
      </c>
      <c r="X54">
        <f>IF(53&gt;Yeterlilik!$N$24,"",SMALL($B$2:$B$126,53))</f>
      </c>
      <c r="Y54">
        <f>IF(X54="","",NORMSINV((53-0.375)/(Yeterlilik!$N$24+0.25)))</f>
      </c>
      <c r="AH54">
        <f>IF(X54="","",NORMSDIST((X54-Yeterlilik!$N$25)/Yeterlilik!$N$30))</f>
      </c>
      <c r="AI54">
        <f>IF(OR(X54="",AH54&lt;=0,AH54&gt;=1),0,(53*2-1)*(LN(AH54)+LN(1-INDEX($AH$2:$AH$126,Yeterlilik!$N$24+1-53))))</f>
      </c>
      <c r="AM54">
        <f t="shared" si="6"/>
      </c>
      <c r="AT54">
        <f t="shared" si="7"/>
      </c>
      <c r="AZ54">
        <f t="shared" si="8"/>
      </c>
      <c r="BB54">
        <f t="shared" si="9"/>
      </c>
    </row>
    <row r="55" spans="1:54" x14ac:dyDescent="0.3">
      <c r="A55">
        <f>IF(B55="","",54)</f>
      </c>
      <c r="B55">
        <f>IF(Yeterlilik!$D$12="","",Yeterlilik!$D$12)</f>
      </c>
      <c r="N55">
        <f>$AD$1+53*(($AE$1-$AD$1)/119)</f>
      </c>
      <c r="O55">
        <f>IF(Yeterlilik!$N$30=0,0,Yeterlilik!$N$24*$AF$1*NORMDIST(N55,Yeterlilik!$N$25,Yeterlilik!$N$30,FALSE))</f>
      </c>
      <c r="X55">
        <f>IF(54&gt;Yeterlilik!$N$24,"",SMALL($B$2:$B$126,54))</f>
      </c>
      <c r="Y55">
        <f>IF(X55="","",NORMSINV((54-0.375)/(Yeterlilik!$N$24+0.25)))</f>
      </c>
      <c r="AH55">
        <f>IF(X55="","",NORMSDIST((X55-Yeterlilik!$N$25)/Yeterlilik!$N$30))</f>
      </c>
      <c r="AI55">
        <f>IF(OR(X55="",AH55&lt;=0,AH55&gt;=1),0,(54*2-1)*(LN(AH55)+LN(1-INDEX($AH$2:$AH$126,Yeterlilik!$N$24+1-54))))</f>
      </c>
      <c r="AM55">
        <f t="shared" si="6"/>
      </c>
      <c r="AT55">
        <f t="shared" si="7"/>
      </c>
      <c r="AZ55">
        <f t="shared" si="8"/>
      </c>
      <c r="BB55">
        <f t="shared" si="9"/>
      </c>
    </row>
    <row r="56" spans="1:54" x14ac:dyDescent="0.3">
      <c r="A56">
        <f>IF(B56="","",55)</f>
      </c>
      <c r="B56">
        <f>IF(Yeterlilik!$D$13="","",Yeterlilik!$D$13)</f>
      </c>
      <c r="N56">
        <f>$AD$1+54*(($AE$1-$AD$1)/119)</f>
      </c>
      <c r="O56">
        <f>IF(Yeterlilik!$N$30=0,0,Yeterlilik!$N$24*$AF$1*NORMDIST(N56,Yeterlilik!$N$25,Yeterlilik!$N$30,FALSE))</f>
      </c>
      <c r="X56">
        <f>IF(55&gt;Yeterlilik!$N$24,"",SMALL($B$2:$B$126,55))</f>
      </c>
      <c r="Y56">
        <f>IF(X56="","",NORMSINV((55-0.375)/(Yeterlilik!$N$24+0.25)))</f>
      </c>
      <c r="AH56">
        <f>IF(X56="","",NORMSDIST((X56-Yeterlilik!$N$25)/Yeterlilik!$N$30))</f>
      </c>
      <c r="AI56">
        <f>IF(OR(X56="",AH56&lt;=0,AH56&gt;=1),0,(55*2-1)*(LN(AH56)+LN(1-INDEX($AH$2:$AH$126,Yeterlilik!$N$24+1-55))))</f>
      </c>
      <c r="AM56">
        <f t="shared" si="6"/>
      </c>
      <c r="AT56">
        <f t="shared" si="7"/>
      </c>
      <c r="AZ56">
        <f t="shared" si="8"/>
      </c>
      <c r="BB56">
        <f t="shared" si="9"/>
      </c>
    </row>
    <row r="57" spans="1:54" x14ac:dyDescent="0.3">
      <c r="A57">
        <f>IF(B57="","",56)</f>
      </c>
      <c r="B57">
        <f>IF(Yeterlilik!$D$14="","",Yeterlilik!$D$14)</f>
      </c>
      <c r="N57">
        <f>$AD$1+55*(($AE$1-$AD$1)/119)</f>
      </c>
      <c r="O57">
        <f>IF(Yeterlilik!$N$30=0,0,Yeterlilik!$N$24*$AF$1*NORMDIST(N57,Yeterlilik!$N$25,Yeterlilik!$N$30,FALSE))</f>
      </c>
      <c r="X57">
        <f>IF(56&gt;Yeterlilik!$N$24,"",SMALL($B$2:$B$126,56))</f>
      </c>
      <c r="Y57">
        <f>IF(X57="","",NORMSINV((56-0.375)/(Yeterlilik!$N$24+0.25)))</f>
      </c>
      <c r="AH57">
        <f>IF(X57="","",NORMSDIST((X57-Yeterlilik!$N$25)/Yeterlilik!$N$30))</f>
      </c>
      <c r="AI57">
        <f>IF(OR(X57="",AH57&lt;=0,AH57&gt;=1),0,(56*2-1)*(LN(AH57)+LN(1-INDEX($AH$2:$AH$126,Yeterlilik!$N$24+1-56))))</f>
      </c>
      <c r="AM57">
        <f t="shared" si="6"/>
      </c>
      <c r="AT57">
        <f t="shared" si="7"/>
      </c>
      <c r="AZ57">
        <f t="shared" si="8"/>
      </c>
      <c r="BB57">
        <f t="shared" si="9"/>
      </c>
    </row>
    <row r="58" spans="1:54" x14ac:dyDescent="0.3">
      <c r="A58">
        <f>IF(B58="","",57)</f>
      </c>
      <c r="B58">
        <f>IF(Yeterlilik!$D$15="","",Yeterlilik!$D$15)</f>
      </c>
      <c r="N58">
        <f>$AD$1+56*(($AE$1-$AD$1)/119)</f>
      </c>
      <c r="O58">
        <f>IF(Yeterlilik!$N$30=0,0,Yeterlilik!$N$24*$AF$1*NORMDIST(N58,Yeterlilik!$N$25,Yeterlilik!$N$30,FALSE))</f>
      </c>
      <c r="X58">
        <f>IF(57&gt;Yeterlilik!$N$24,"",SMALL($B$2:$B$126,57))</f>
      </c>
      <c r="Y58">
        <f>IF(X58="","",NORMSINV((57-0.375)/(Yeterlilik!$N$24+0.25)))</f>
      </c>
      <c r="AH58">
        <f>IF(X58="","",NORMSDIST((X58-Yeterlilik!$N$25)/Yeterlilik!$N$30))</f>
      </c>
      <c r="AI58">
        <f>IF(OR(X58="",AH58&lt;=0,AH58&gt;=1),0,(57*2-1)*(LN(AH58)+LN(1-INDEX($AH$2:$AH$126,Yeterlilik!$N$24+1-57))))</f>
      </c>
      <c r="AM58">
        <f t="shared" si="6"/>
      </c>
      <c r="AT58">
        <f t="shared" si="7"/>
      </c>
      <c r="AZ58">
        <f t="shared" si="8"/>
      </c>
      <c r="BB58">
        <f t="shared" si="9"/>
      </c>
    </row>
    <row r="59" spans="1:54" x14ac:dyDescent="0.3">
      <c r="A59">
        <f>IF(B59="","",58)</f>
      </c>
      <c r="B59">
        <f>IF(Yeterlilik!$D$16="","",Yeterlilik!$D$16)</f>
      </c>
      <c r="N59">
        <f>$AD$1+57*(($AE$1-$AD$1)/119)</f>
      </c>
      <c r="O59">
        <f>IF(Yeterlilik!$N$30=0,0,Yeterlilik!$N$24*$AF$1*NORMDIST(N59,Yeterlilik!$N$25,Yeterlilik!$N$30,FALSE))</f>
      </c>
      <c r="X59">
        <f>IF(58&gt;Yeterlilik!$N$24,"",SMALL($B$2:$B$126,58))</f>
      </c>
      <c r="Y59">
        <f>IF(X59="","",NORMSINV((58-0.375)/(Yeterlilik!$N$24+0.25)))</f>
      </c>
      <c r="AH59">
        <f>IF(X59="","",NORMSDIST((X59-Yeterlilik!$N$25)/Yeterlilik!$N$30))</f>
      </c>
      <c r="AI59">
        <f>IF(OR(X59="",AH59&lt;=0,AH59&gt;=1),0,(58*2-1)*(LN(AH59)+LN(1-INDEX($AH$2:$AH$126,Yeterlilik!$N$24+1-58))))</f>
      </c>
      <c r="AM59">
        <f t="shared" si="6"/>
      </c>
      <c r="AT59">
        <f t="shared" si="7"/>
      </c>
      <c r="AZ59">
        <f t="shared" si="8"/>
      </c>
      <c r="BB59">
        <f t="shared" si="9"/>
      </c>
    </row>
    <row r="60" spans="1:54" x14ac:dyDescent="0.3">
      <c r="A60">
        <f>IF(B60="","",59)</f>
      </c>
      <c r="B60">
        <f>IF(Yeterlilik!$D$17="","",Yeterlilik!$D$17)</f>
      </c>
      <c r="N60">
        <f>$AD$1+58*(($AE$1-$AD$1)/119)</f>
      </c>
      <c r="O60">
        <f>IF(Yeterlilik!$N$30=0,0,Yeterlilik!$N$24*$AF$1*NORMDIST(N60,Yeterlilik!$N$25,Yeterlilik!$N$30,FALSE))</f>
      </c>
      <c r="X60">
        <f>IF(59&gt;Yeterlilik!$N$24,"",SMALL($B$2:$B$126,59))</f>
      </c>
      <c r="Y60">
        <f>IF(X60="","",NORMSINV((59-0.375)/(Yeterlilik!$N$24+0.25)))</f>
      </c>
      <c r="AH60">
        <f>IF(X60="","",NORMSDIST((X60-Yeterlilik!$N$25)/Yeterlilik!$N$30))</f>
      </c>
      <c r="AI60">
        <f>IF(OR(X60="",AH60&lt;=0,AH60&gt;=1),0,(59*2-1)*(LN(AH60)+LN(1-INDEX($AH$2:$AH$126,Yeterlilik!$N$24+1-59))))</f>
      </c>
      <c r="AM60">
        <f t="shared" si="6"/>
      </c>
      <c r="AT60">
        <f t="shared" si="7"/>
      </c>
      <c r="AZ60">
        <f t="shared" si="8"/>
      </c>
      <c r="BB60">
        <f t="shared" si="9"/>
      </c>
    </row>
    <row r="61" spans="1:54" x14ac:dyDescent="0.3">
      <c r="A61">
        <f>IF(B61="","",60)</f>
      </c>
      <c r="B61">
        <f>IF(Yeterlilik!$D$18="","",Yeterlilik!$D$18)</f>
      </c>
      <c r="N61">
        <f>$AD$1+59*(($AE$1-$AD$1)/119)</f>
      </c>
      <c r="O61">
        <f>IF(Yeterlilik!$N$30=0,0,Yeterlilik!$N$24*$AF$1*NORMDIST(N61,Yeterlilik!$N$25,Yeterlilik!$N$30,FALSE))</f>
      </c>
      <c r="X61">
        <f>IF(60&gt;Yeterlilik!$N$24,"",SMALL($B$2:$B$126,60))</f>
      </c>
      <c r="Y61">
        <f>IF(X61="","",NORMSINV((60-0.375)/(Yeterlilik!$N$24+0.25)))</f>
      </c>
      <c r="AH61">
        <f>IF(X61="","",NORMSDIST((X61-Yeterlilik!$N$25)/Yeterlilik!$N$30))</f>
      </c>
      <c r="AI61">
        <f>IF(OR(X61="",AH61&lt;=0,AH61&gt;=1),0,(60*2-1)*(LN(AH61)+LN(1-INDEX($AH$2:$AH$126,Yeterlilik!$N$24+1-60))))</f>
      </c>
      <c r="AM61">
        <f t="shared" si="6"/>
      </c>
      <c r="AT61">
        <f t="shared" si="7"/>
      </c>
      <c r="AZ61">
        <f t="shared" si="8"/>
      </c>
      <c r="BB61">
        <f t="shared" si="9"/>
      </c>
    </row>
    <row r="62" spans="1:54" x14ac:dyDescent="0.3">
      <c r="A62">
        <f>IF(B62="","",61)</f>
      </c>
      <c r="B62">
        <f>IF(Yeterlilik!$D$19="","",Yeterlilik!$D$19)</f>
      </c>
      <c r="N62">
        <f>$AD$1+60*(($AE$1-$AD$1)/119)</f>
      </c>
      <c r="O62">
        <f>IF(Yeterlilik!$N$30=0,0,Yeterlilik!$N$24*$AF$1*NORMDIST(N62,Yeterlilik!$N$25,Yeterlilik!$N$30,FALSE))</f>
      </c>
      <c r="X62">
        <f>IF(61&gt;Yeterlilik!$N$24,"",SMALL($B$2:$B$126,61))</f>
      </c>
      <c r="Y62">
        <f>IF(X62="","",NORMSINV((61-0.375)/(Yeterlilik!$N$24+0.25)))</f>
      </c>
      <c r="AH62">
        <f>IF(X62="","",NORMSDIST((X62-Yeterlilik!$N$25)/Yeterlilik!$N$30))</f>
      </c>
      <c r="AI62">
        <f>IF(OR(X62="",AH62&lt;=0,AH62&gt;=1),0,(61*2-1)*(LN(AH62)+LN(1-INDEX($AH$2:$AH$126,Yeterlilik!$N$24+1-61))))</f>
      </c>
      <c r="AM62">
        <f t="shared" si="6"/>
      </c>
      <c r="AT62">
        <f t="shared" si="7"/>
      </c>
      <c r="AZ62">
        <f t="shared" si="8"/>
      </c>
      <c r="BB62">
        <f t="shared" si="9"/>
      </c>
    </row>
    <row r="63" spans="1:54" x14ac:dyDescent="0.3">
      <c r="A63">
        <f>IF(B63="","",62)</f>
      </c>
      <c r="B63">
        <f>IF(Yeterlilik!$D$20="","",Yeterlilik!$D$20)</f>
      </c>
      <c r="N63">
        <f>$AD$1+61*(($AE$1-$AD$1)/119)</f>
      </c>
      <c r="O63">
        <f>IF(Yeterlilik!$N$30=0,0,Yeterlilik!$N$24*$AF$1*NORMDIST(N63,Yeterlilik!$N$25,Yeterlilik!$N$30,FALSE))</f>
      </c>
      <c r="X63">
        <f>IF(62&gt;Yeterlilik!$N$24,"",SMALL($B$2:$B$126,62))</f>
      </c>
      <c r="Y63">
        <f>IF(X63="","",NORMSINV((62-0.375)/(Yeterlilik!$N$24+0.25)))</f>
      </c>
      <c r="AH63">
        <f>IF(X63="","",NORMSDIST((X63-Yeterlilik!$N$25)/Yeterlilik!$N$30))</f>
      </c>
      <c r="AI63">
        <f>IF(OR(X63="",AH63&lt;=0,AH63&gt;=1),0,(62*2-1)*(LN(AH63)+LN(1-INDEX($AH$2:$AH$126,Yeterlilik!$N$24+1-62))))</f>
      </c>
      <c r="AM63">
        <f t="shared" si="6"/>
      </c>
      <c r="AT63">
        <f t="shared" si="7"/>
      </c>
      <c r="AZ63">
        <f t="shared" si="8"/>
      </c>
      <c r="BB63">
        <f t="shared" si="9"/>
      </c>
    </row>
    <row r="64" spans="1:54" x14ac:dyDescent="0.3">
      <c r="A64">
        <f>IF(B64="","",63)</f>
      </c>
      <c r="B64">
        <f>IF(Yeterlilik!$D$21="","",Yeterlilik!$D$21)</f>
      </c>
      <c r="N64">
        <f>$AD$1+62*(($AE$1-$AD$1)/119)</f>
      </c>
      <c r="O64">
        <f>IF(Yeterlilik!$N$30=0,0,Yeterlilik!$N$24*$AF$1*NORMDIST(N64,Yeterlilik!$N$25,Yeterlilik!$N$30,FALSE))</f>
      </c>
      <c r="X64">
        <f>IF(63&gt;Yeterlilik!$N$24,"",SMALL($B$2:$B$126,63))</f>
      </c>
      <c r="Y64">
        <f>IF(X64="","",NORMSINV((63-0.375)/(Yeterlilik!$N$24+0.25)))</f>
      </c>
      <c r="AH64">
        <f>IF(X64="","",NORMSDIST((X64-Yeterlilik!$N$25)/Yeterlilik!$N$30))</f>
      </c>
      <c r="AI64">
        <f>IF(OR(X64="",AH64&lt;=0,AH64&gt;=1),0,(63*2-1)*(LN(AH64)+LN(1-INDEX($AH$2:$AH$126,Yeterlilik!$N$24+1-63))))</f>
      </c>
      <c r="AM64">
        <f t="shared" si="6"/>
      </c>
      <c r="AT64">
        <f t="shared" si="7"/>
      </c>
      <c r="AZ64">
        <f t="shared" si="8"/>
      </c>
      <c r="BB64">
        <f t="shared" si="9"/>
      </c>
    </row>
    <row r="65" spans="1:54" x14ac:dyDescent="0.3">
      <c r="A65">
        <f>IF(B65="","",64)</f>
      </c>
      <c r="B65">
        <f>IF(Yeterlilik!$D$22="","",Yeterlilik!$D$22)</f>
      </c>
      <c r="N65">
        <f>$AD$1+63*(($AE$1-$AD$1)/119)</f>
      </c>
      <c r="O65">
        <f>IF(Yeterlilik!$N$30=0,0,Yeterlilik!$N$24*$AF$1*NORMDIST(N65,Yeterlilik!$N$25,Yeterlilik!$N$30,FALSE))</f>
      </c>
      <c r="X65">
        <f>IF(64&gt;Yeterlilik!$N$24,"",SMALL($B$2:$B$126,64))</f>
      </c>
      <c r="Y65">
        <f>IF(X65="","",NORMSINV((64-0.375)/(Yeterlilik!$N$24+0.25)))</f>
      </c>
      <c r="AH65">
        <f>IF(X65="","",NORMSDIST((X65-Yeterlilik!$N$25)/Yeterlilik!$N$30))</f>
      </c>
      <c r="AI65">
        <f>IF(OR(X65="",AH65&lt;=0,AH65&gt;=1),0,(64*2-1)*(LN(AH65)+LN(1-INDEX($AH$2:$AH$126,Yeterlilik!$N$24+1-64))))</f>
      </c>
      <c r="AM65">
        <f t="shared" si="6"/>
      </c>
      <c r="AT65">
        <f t="shared" si="7"/>
      </c>
      <c r="AZ65">
        <f t="shared" si="8"/>
      </c>
      <c r="BB65">
        <f t="shared" si="9"/>
      </c>
    </row>
    <row r="66" spans="1:54" x14ac:dyDescent="0.3">
      <c r="A66">
        <f>IF(B66="","",65)</f>
      </c>
      <c r="B66">
        <f>IF(Yeterlilik!$D$23="","",Yeterlilik!$D$23)</f>
      </c>
      <c r="N66">
        <f>$AD$1+64*(($AE$1-$AD$1)/119)</f>
      </c>
      <c r="O66">
        <f>IF(Yeterlilik!$N$30=0,0,Yeterlilik!$N$24*$AF$1*NORMDIST(N66,Yeterlilik!$N$25,Yeterlilik!$N$30,FALSE))</f>
      </c>
      <c r="X66">
        <f>IF(65&gt;Yeterlilik!$N$24,"",SMALL($B$2:$B$126,65))</f>
      </c>
      <c r="Y66">
        <f>IF(X66="","",NORMSINV((65-0.375)/(Yeterlilik!$N$24+0.25)))</f>
      </c>
      <c r="AH66">
        <f>IF(X66="","",NORMSDIST((X66-Yeterlilik!$N$25)/Yeterlilik!$N$30))</f>
      </c>
      <c r="AI66">
        <f>IF(OR(X66="",AH66&lt;=0,AH66&gt;=1),0,(65*2-1)*(LN(AH66)+LN(1-INDEX($AH$2:$AH$126,Yeterlilik!$N$24+1-65))))</f>
      </c>
      <c r="AM66">
        <f t="shared" ref="AM66:AM97" si="10">IF(B66="",NA(),B66-$AM$1)</f>
      </c>
      <c r="AT66">
        <f t="shared" ref="AT66:AT97" si="11">N66-$AM$1</f>
      </c>
      <c r="AZ66">
        <f t="shared" ref="AZ66:AZ97" si="12">IF(X66="",NA(),X66-$AM$1)</f>
      </c>
      <c r="BB66">
        <f t="shared" ref="BB66:BB97" si="13">IF(Y66="",NA(),Y66)</f>
      </c>
    </row>
    <row r="67" spans="1:54" x14ac:dyDescent="0.3">
      <c r="A67">
        <f>IF(B67="","",66)</f>
      </c>
      <c r="B67">
        <f>IF(Yeterlilik!$D$24="","",Yeterlilik!$D$24)</f>
      </c>
      <c r="N67">
        <f>$AD$1+65*(($AE$1-$AD$1)/119)</f>
      </c>
      <c r="O67">
        <f>IF(Yeterlilik!$N$30=0,0,Yeterlilik!$N$24*$AF$1*NORMDIST(N67,Yeterlilik!$N$25,Yeterlilik!$N$30,FALSE))</f>
      </c>
      <c r="X67">
        <f>IF(66&gt;Yeterlilik!$N$24,"",SMALL($B$2:$B$126,66))</f>
      </c>
      <c r="Y67">
        <f>IF(X67="","",NORMSINV((66-0.375)/(Yeterlilik!$N$24+0.25)))</f>
      </c>
      <c r="AH67">
        <f>IF(X67="","",NORMSDIST((X67-Yeterlilik!$N$25)/Yeterlilik!$N$30))</f>
      </c>
      <c r="AI67">
        <f>IF(OR(X67="",AH67&lt;=0,AH67&gt;=1),0,(66*2-1)*(LN(AH67)+LN(1-INDEX($AH$2:$AH$126,Yeterlilik!$N$24+1-66))))</f>
      </c>
      <c r="AM67">
        <f t="shared" si="10"/>
      </c>
      <c r="AT67">
        <f t="shared" si="11"/>
      </c>
      <c r="AZ67">
        <f t="shared" si="12"/>
      </c>
      <c r="BB67">
        <f t="shared" si="13"/>
      </c>
    </row>
    <row r="68" spans="1:54" x14ac:dyDescent="0.3">
      <c r="A68">
        <f>IF(B68="","",67)</f>
      </c>
      <c r="B68">
        <f>IF(Yeterlilik!$D$25="","",Yeterlilik!$D$25)</f>
      </c>
      <c r="N68">
        <f>$AD$1+66*(($AE$1-$AD$1)/119)</f>
      </c>
      <c r="O68">
        <f>IF(Yeterlilik!$N$30=0,0,Yeterlilik!$N$24*$AF$1*NORMDIST(N68,Yeterlilik!$N$25,Yeterlilik!$N$30,FALSE))</f>
      </c>
      <c r="X68">
        <f>IF(67&gt;Yeterlilik!$N$24,"",SMALL($B$2:$B$126,67))</f>
      </c>
      <c r="Y68">
        <f>IF(X68="","",NORMSINV((67-0.375)/(Yeterlilik!$N$24+0.25)))</f>
      </c>
      <c r="AH68">
        <f>IF(X68="","",NORMSDIST((X68-Yeterlilik!$N$25)/Yeterlilik!$N$30))</f>
      </c>
      <c r="AI68">
        <f>IF(OR(X68="",AH68&lt;=0,AH68&gt;=1),0,(67*2-1)*(LN(AH68)+LN(1-INDEX($AH$2:$AH$126,Yeterlilik!$N$24+1-67))))</f>
      </c>
      <c r="AM68">
        <f t="shared" si="10"/>
      </c>
      <c r="AT68">
        <f t="shared" si="11"/>
      </c>
      <c r="AZ68">
        <f t="shared" si="12"/>
      </c>
      <c r="BB68">
        <f t="shared" si="13"/>
      </c>
    </row>
    <row r="69" spans="1:54" x14ac:dyDescent="0.3">
      <c r="A69">
        <f>IF(B69="","",68)</f>
      </c>
      <c r="B69">
        <f>IF(Yeterlilik!$D$26="","",Yeterlilik!$D$26)</f>
      </c>
      <c r="N69">
        <f>$AD$1+67*(($AE$1-$AD$1)/119)</f>
      </c>
      <c r="O69">
        <f>IF(Yeterlilik!$N$30=0,0,Yeterlilik!$N$24*$AF$1*NORMDIST(N69,Yeterlilik!$N$25,Yeterlilik!$N$30,FALSE))</f>
      </c>
      <c r="X69">
        <f>IF(68&gt;Yeterlilik!$N$24,"",SMALL($B$2:$B$126,68))</f>
      </c>
      <c r="Y69">
        <f>IF(X69="","",NORMSINV((68-0.375)/(Yeterlilik!$N$24+0.25)))</f>
      </c>
      <c r="AH69">
        <f>IF(X69="","",NORMSDIST((X69-Yeterlilik!$N$25)/Yeterlilik!$N$30))</f>
      </c>
      <c r="AI69">
        <f>IF(OR(X69="",AH69&lt;=0,AH69&gt;=1),0,(68*2-1)*(LN(AH69)+LN(1-INDEX($AH$2:$AH$126,Yeterlilik!$N$24+1-68))))</f>
      </c>
      <c r="AM69">
        <f t="shared" si="10"/>
      </c>
      <c r="AT69">
        <f t="shared" si="11"/>
      </c>
      <c r="AZ69">
        <f t="shared" si="12"/>
      </c>
      <c r="BB69">
        <f t="shared" si="13"/>
      </c>
    </row>
    <row r="70" spans="1:54" x14ac:dyDescent="0.3">
      <c r="A70">
        <f>IF(B70="","",69)</f>
      </c>
      <c r="B70">
        <f>IF(Yeterlilik!$D$27="","",Yeterlilik!$D$27)</f>
      </c>
      <c r="N70">
        <f>$AD$1+68*(($AE$1-$AD$1)/119)</f>
      </c>
      <c r="O70">
        <f>IF(Yeterlilik!$N$30=0,0,Yeterlilik!$N$24*$AF$1*NORMDIST(N70,Yeterlilik!$N$25,Yeterlilik!$N$30,FALSE))</f>
      </c>
      <c r="X70">
        <f>IF(69&gt;Yeterlilik!$N$24,"",SMALL($B$2:$B$126,69))</f>
      </c>
      <c r="Y70">
        <f>IF(X70="","",NORMSINV((69-0.375)/(Yeterlilik!$N$24+0.25)))</f>
      </c>
      <c r="AH70">
        <f>IF(X70="","",NORMSDIST((X70-Yeterlilik!$N$25)/Yeterlilik!$N$30))</f>
      </c>
      <c r="AI70">
        <f>IF(OR(X70="",AH70&lt;=0,AH70&gt;=1),0,(69*2-1)*(LN(AH70)+LN(1-INDEX($AH$2:$AH$126,Yeterlilik!$N$24+1-69))))</f>
      </c>
      <c r="AM70">
        <f t="shared" si="10"/>
      </c>
      <c r="AT70">
        <f t="shared" si="11"/>
      </c>
      <c r="AZ70">
        <f t="shared" si="12"/>
      </c>
      <c r="BB70">
        <f t="shared" si="13"/>
      </c>
    </row>
    <row r="71" spans="1:54" x14ac:dyDescent="0.3">
      <c r="A71">
        <f>IF(B71="","",70)</f>
      </c>
      <c r="B71">
        <f>IF(Yeterlilik!$D$28="","",Yeterlilik!$D$28)</f>
      </c>
      <c r="N71">
        <f>$AD$1+69*(($AE$1-$AD$1)/119)</f>
      </c>
      <c r="O71">
        <f>IF(Yeterlilik!$N$30=0,0,Yeterlilik!$N$24*$AF$1*NORMDIST(N71,Yeterlilik!$N$25,Yeterlilik!$N$30,FALSE))</f>
      </c>
      <c r="X71">
        <f>IF(70&gt;Yeterlilik!$N$24,"",SMALL($B$2:$B$126,70))</f>
      </c>
      <c r="Y71">
        <f>IF(X71="","",NORMSINV((70-0.375)/(Yeterlilik!$N$24+0.25)))</f>
      </c>
      <c r="AH71">
        <f>IF(X71="","",NORMSDIST((X71-Yeterlilik!$N$25)/Yeterlilik!$N$30))</f>
      </c>
      <c r="AI71">
        <f>IF(OR(X71="",AH71&lt;=0,AH71&gt;=1),0,(70*2-1)*(LN(AH71)+LN(1-INDEX($AH$2:$AH$126,Yeterlilik!$N$24+1-70))))</f>
      </c>
      <c r="AM71">
        <f t="shared" si="10"/>
      </c>
      <c r="AT71">
        <f t="shared" si="11"/>
      </c>
      <c r="AZ71">
        <f t="shared" si="12"/>
      </c>
      <c r="BB71">
        <f t="shared" si="13"/>
      </c>
    </row>
    <row r="72" spans="1:54" x14ac:dyDescent="0.3">
      <c r="A72">
        <f>IF(B72="","",71)</f>
      </c>
      <c r="B72">
        <f>IF(Yeterlilik!$D$29="","",Yeterlilik!$D$29)</f>
      </c>
      <c r="N72">
        <f>$AD$1+70*(($AE$1-$AD$1)/119)</f>
      </c>
      <c r="O72">
        <f>IF(Yeterlilik!$N$30=0,0,Yeterlilik!$N$24*$AF$1*NORMDIST(N72,Yeterlilik!$N$25,Yeterlilik!$N$30,FALSE))</f>
      </c>
      <c r="X72">
        <f>IF(71&gt;Yeterlilik!$N$24,"",SMALL($B$2:$B$126,71))</f>
      </c>
      <c r="Y72">
        <f>IF(X72="","",NORMSINV((71-0.375)/(Yeterlilik!$N$24+0.25)))</f>
      </c>
      <c r="AH72">
        <f>IF(X72="","",NORMSDIST((X72-Yeterlilik!$N$25)/Yeterlilik!$N$30))</f>
      </c>
      <c r="AI72">
        <f>IF(OR(X72="",AH72&lt;=0,AH72&gt;=1),0,(71*2-1)*(LN(AH72)+LN(1-INDEX($AH$2:$AH$126,Yeterlilik!$N$24+1-71))))</f>
      </c>
      <c r="AM72">
        <f t="shared" si="10"/>
      </c>
      <c r="AT72">
        <f t="shared" si="11"/>
      </c>
      <c r="AZ72">
        <f t="shared" si="12"/>
      </c>
      <c r="BB72">
        <f t="shared" si="13"/>
      </c>
    </row>
    <row r="73" spans="1:54" x14ac:dyDescent="0.3">
      <c r="A73">
        <f>IF(B73="","",72)</f>
      </c>
      <c r="B73">
        <f>IF(Yeterlilik!$D$30="","",Yeterlilik!$D$30)</f>
      </c>
      <c r="N73">
        <f>$AD$1+71*(($AE$1-$AD$1)/119)</f>
      </c>
      <c r="O73">
        <f>IF(Yeterlilik!$N$30=0,0,Yeterlilik!$N$24*$AF$1*NORMDIST(N73,Yeterlilik!$N$25,Yeterlilik!$N$30,FALSE))</f>
      </c>
      <c r="X73">
        <f>IF(72&gt;Yeterlilik!$N$24,"",SMALL($B$2:$B$126,72))</f>
      </c>
      <c r="Y73">
        <f>IF(X73="","",NORMSINV((72-0.375)/(Yeterlilik!$N$24+0.25)))</f>
      </c>
      <c r="AH73">
        <f>IF(X73="","",NORMSDIST((X73-Yeterlilik!$N$25)/Yeterlilik!$N$30))</f>
      </c>
      <c r="AI73">
        <f>IF(OR(X73="",AH73&lt;=0,AH73&gt;=1),0,(72*2-1)*(LN(AH73)+LN(1-INDEX($AH$2:$AH$126,Yeterlilik!$N$24+1-72))))</f>
      </c>
      <c r="AM73">
        <f t="shared" si="10"/>
      </c>
      <c r="AT73">
        <f t="shared" si="11"/>
      </c>
      <c r="AZ73">
        <f t="shared" si="12"/>
      </c>
      <c r="BB73">
        <f t="shared" si="13"/>
      </c>
    </row>
    <row r="74" spans="1:54" x14ac:dyDescent="0.3">
      <c r="A74">
        <f>IF(B74="","",73)</f>
      </c>
      <c r="B74">
        <f>IF(Yeterlilik!$D$31="","",Yeterlilik!$D$31)</f>
      </c>
      <c r="N74">
        <f>$AD$1+72*(($AE$1-$AD$1)/119)</f>
      </c>
      <c r="O74">
        <f>IF(Yeterlilik!$N$30=0,0,Yeterlilik!$N$24*$AF$1*NORMDIST(N74,Yeterlilik!$N$25,Yeterlilik!$N$30,FALSE))</f>
      </c>
      <c r="X74">
        <f>IF(73&gt;Yeterlilik!$N$24,"",SMALL($B$2:$B$126,73))</f>
      </c>
      <c r="Y74">
        <f>IF(X74="","",NORMSINV((73-0.375)/(Yeterlilik!$N$24+0.25)))</f>
      </c>
      <c r="AH74">
        <f>IF(X74="","",NORMSDIST((X74-Yeterlilik!$N$25)/Yeterlilik!$N$30))</f>
      </c>
      <c r="AI74">
        <f>IF(OR(X74="",AH74&lt;=0,AH74&gt;=1),0,(73*2-1)*(LN(AH74)+LN(1-INDEX($AH$2:$AH$126,Yeterlilik!$N$24+1-73))))</f>
      </c>
      <c r="AM74">
        <f t="shared" si="10"/>
      </c>
      <c r="AT74">
        <f t="shared" si="11"/>
      </c>
      <c r="AZ74">
        <f t="shared" si="12"/>
      </c>
      <c r="BB74">
        <f t="shared" si="13"/>
      </c>
    </row>
    <row r="75" spans="1:54" x14ac:dyDescent="0.3">
      <c r="A75">
        <f>IF(B75="","",74)</f>
      </c>
      <c r="B75">
        <f>IF(Yeterlilik!$D$32="","",Yeterlilik!$D$32)</f>
      </c>
      <c r="N75">
        <f>$AD$1+73*(($AE$1-$AD$1)/119)</f>
      </c>
      <c r="O75">
        <f>IF(Yeterlilik!$N$30=0,0,Yeterlilik!$N$24*$AF$1*NORMDIST(N75,Yeterlilik!$N$25,Yeterlilik!$N$30,FALSE))</f>
      </c>
      <c r="X75">
        <f>IF(74&gt;Yeterlilik!$N$24,"",SMALL($B$2:$B$126,74))</f>
      </c>
      <c r="Y75">
        <f>IF(X75="","",NORMSINV((74-0.375)/(Yeterlilik!$N$24+0.25)))</f>
      </c>
      <c r="AH75">
        <f>IF(X75="","",NORMSDIST((X75-Yeterlilik!$N$25)/Yeterlilik!$N$30))</f>
      </c>
      <c r="AI75">
        <f>IF(OR(X75="",AH75&lt;=0,AH75&gt;=1),0,(74*2-1)*(LN(AH75)+LN(1-INDEX($AH$2:$AH$126,Yeterlilik!$N$24+1-74))))</f>
      </c>
      <c r="AM75">
        <f t="shared" si="10"/>
      </c>
      <c r="AT75">
        <f t="shared" si="11"/>
      </c>
      <c r="AZ75">
        <f t="shared" si="12"/>
      </c>
      <c r="BB75">
        <f t="shared" si="13"/>
      </c>
    </row>
    <row r="76" spans="1:54" x14ac:dyDescent="0.3">
      <c r="A76">
        <f>IF(B76="","",75)</f>
      </c>
      <c r="B76">
        <f>IF(Yeterlilik!$D$33="","",Yeterlilik!$D$33)</f>
      </c>
      <c r="N76">
        <f>$AD$1+74*(($AE$1-$AD$1)/119)</f>
      </c>
      <c r="O76">
        <f>IF(Yeterlilik!$N$30=0,0,Yeterlilik!$N$24*$AF$1*NORMDIST(N76,Yeterlilik!$N$25,Yeterlilik!$N$30,FALSE))</f>
      </c>
      <c r="X76">
        <f>IF(75&gt;Yeterlilik!$N$24,"",SMALL($B$2:$B$126,75))</f>
      </c>
      <c r="Y76">
        <f>IF(X76="","",NORMSINV((75-0.375)/(Yeterlilik!$N$24+0.25)))</f>
      </c>
      <c r="AH76">
        <f>IF(X76="","",NORMSDIST((X76-Yeterlilik!$N$25)/Yeterlilik!$N$30))</f>
      </c>
      <c r="AI76">
        <f>IF(OR(X76="",AH76&lt;=0,AH76&gt;=1),0,(75*2-1)*(LN(AH76)+LN(1-INDEX($AH$2:$AH$126,Yeterlilik!$N$24+1-75))))</f>
      </c>
      <c r="AM76">
        <f t="shared" si="10"/>
      </c>
      <c r="AT76">
        <f t="shared" si="11"/>
      </c>
      <c r="AZ76">
        <f t="shared" si="12"/>
      </c>
      <c r="BB76">
        <f t="shared" si="13"/>
      </c>
    </row>
    <row r="77" spans="1:54" x14ac:dyDescent="0.3">
      <c r="A77">
        <f>IF(B77="","",76)</f>
      </c>
      <c r="B77">
        <f>IF(Yeterlilik!$D$34="","",Yeterlilik!$D$34)</f>
      </c>
      <c r="N77">
        <f>$AD$1+75*(($AE$1-$AD$1)/119)</f>
      </c>
      <c r="O77">
        <f>IF(Yeterlilik!$N$30=0,0,Yeterlilik!$N$24*$AF$1*NORMDIST(N77,Yeterlilik!$N$25,Yeterlilik!$N$30,FALSE))</f>
      </c>
      <c r="X77">
        <f>IF(76&gt;Yeterlilik!$N$24,"",SMALL($B$2:$B$126,76))</f>
      </c>
      <c r="Y77">
        <f>IF(X77="","",NORMSINV((76-0.375)/(Yeterlilik!$N$24+0.25)))</f>
      </c>
      <c r="AH77">
        <f>IF(X77="","",NORMSDIST((X77-Yeterlilik!$N$25)/Yeterlilik!$N$30))</f>
      </c>
      <c r="AI77">
        <f>IF(OR(X77="",AH77&lt;=0,AH77&gt;=1),0,(76*2-1)*(LN(AH77)+LN(1-INDEX($AH$2:$AH$126,Yeterlilik!$N$24+1-76))))</f>
      </c>
      <c r="AM77">
        <f t="shared" si="10"/>
      </c>
      <c r="AT77">
        <f t="shared" si="11"/>
      </c>
      <c r="AZ77">
        <f t="shared" si="12"/>
      </c>
      <c r="BB77">
        <f t="shared" si="13"/>
      </c>
    </row>
    <row r="78" spans="1:54" x14ac:dyDescent="0.3">
      <c r="A78">
        <f>IF(B78="","",77)</f>
      </c>
      <c r="B78">
        <f>IF(Yeterlilik!$D$35="","",Yeterlilik!$D$35)</f>
      </c>
      <c r="N78">
        <f>$AD$1+76*(($AE$1-$AD$1)/119)</f>
      </c>
      <c r="O78">
        <f>IF(Yeterlilik!$N$30=0,0,Yeterlilik!$N$24*$AF$1*NORMDIST(N78,Yeterlilik!$N$25,Yeterlilik!$N$30,FALSE))</f>
      </c>
      <c r="X78">
        <f>IF(77&gt;Yeterlilik!$N$24,"",SMALL($B$2:$B$126,77))</f>
      </c>
      <c r="Y78">
        <f>IF(X78="","",NORMSINV((77-0.375)/(Yeterlilik!$N$24+0.25)))</f>
      </c>
      <c r="AH78">
        <f>IF(X78="","",NORMSDIST((X78-Yeterlilik!$N$25)/Yeterlilik!$N$30))</f>
      </c>
      <c r="AI78">
        <f>IF(OR(X78="",AH78&lt;=0,AH78&gt;=1),0,(77*2-1)*(LN(AH78)+LN(1-INDEX($AH$2:$AH$126,Yeterlilik!$N$24+1-77))))</f>
      </c>
      <c r="AM78">
        <f t="shared" si="10"/>
      </c>
      <c r="AT78">
        <f t="shared" si="11"/>
      </c>
      <c r="AZ78">
        <f t="shared" si="12"/>
      </c>
      <c r="BB78">
        <f t="shared" si="13"/>
      </c>
    </row>
    <row r="79" spans="1:54" x14ac:dyDescent="0.3">
      <c r="A79">
        <f>IF(B79="","",78)</f>
      </c>
      <c r="B79">
        <f>IF(Yeterlilik!$D$36="","",Yeterlilik!$D$36)</f>
      </c>
      <c r="N79">
        <f>$AD$1+77*(($AE$1-$AD$1)/119)</f>
      </c>
      <c r="O79">
        <f>IF(Yeterlilik!$N$30=0,0,Yeterlilik!$N$24*$AF$1*NORMDIST(N79,Yeterlilik!$N$25,Yeterlilik!$N$30,FALSE))</f>
      </c>
      <c r="X79">
        <f>IF(78&gt;Yeterlilik!$N$24,"",SMALL($B$2:$B$126,78))</f>
      </c>
      <c r="Y79">
        <f>IF(X79="","",NORMSINV((78-0.375)/(Yeterlilik!$N$24+0.25)))</f>
      </c>
      <c r="AH79">
        <f>IF(X79="","",NORMSDIST((X79-Yeterlilik!$N$25)/Yeterlilik!$N$30))</f>
      </c>
      <c r="AI79">
        <f>IF(OR(X79="",AH79&lt;=0,AH79&gt;=1),0,(78*2-1)*(LN(AH79)+LN(1-INDEX($AH$2:$AH$126,Yeterlilik!$N$24+1-78))))</f>
      </c>
      <c r="AM79">
        <f t="shared" si="10"/>
      </c>
      <c r="AT79">
        <f t="shared" si="11"/>
      </c>
      <c r="AZ79">
        <f t="shared" si="12"/>
      </c>
      <c r="BB79">
        <f t="shared" si="13"/>
      </c>
    </row>
    <row r="80" spans="1:54" x14ac:dyDescent="0.3">
      <c r="A80">
        <f>IF(B80="","",79)</f>
      </c>
      <c r="B80">
        <f>IF(Yeterlilik!$D$37="","",Yeterlilik!$D$37)</f>
      </c>
      <c r="N80">
        <f>$AD$1+78*(($AE$1-$AD$1)/119)</f>
      </c>
      <c r="O80">
        <f>IF(Yeterlilik!$N$30=0,0,Yeterlilik!$N$24*$AF$1*NORMDIST(N80,Yeterlilik!$N$25,Yeterlilik!$N$30,FALSE))</f>
      </c>
      <c r="X80">
        <f>IF(79&gt;Yeterlilik!$N$24,"",SMALL($B$2:$B$126,79))</f>
      </c>
      <c r="Y80">
        <f>IF(X80="","",NORMSINV((79-0.375)/(Yeterlilik!$N$24+0.25)))</f>
      </c>
      <c r="AH80">
        <f>IF(X80="","",NORMSDIST((X80-Yeterlilik!$N$25)/Yeterlilik!$N$30))</f>
      </c>
      <c r="AI80">
        <f>IF(OR(X80="",AH80&lt;=0,AH80&gt;=1),0,(79*2-1)*(LN(AH80)+LN(1-INDEX($AH$2:$AH$126,Yeterlilik!$N$24+1-79))))</f>
      </c>
      <c r="AM80">
        <f t="shared" si="10"/>
      </c>
      <c r="AT80">
        <f t="shared" si="11"/>
      </c>
      <c r="AZ80">
        <f t="shared" si="12"/>
      </c>
      <c r="BB80">
        <f t="shared" si="13"/>
      </c>
    </row>
    <row r="81" spans="1:54" x14ac:dyDescent="0.3">
      <c r="A81">
        <f>IF(B81="","",80)</f>
      </c>
      <c r="B81">
        <f>IF(Yeterlilik!$D$38="","",Yeterlilik!$D$38)</f>
      </c>
      <c r="N81">
        <f>$AD$1+79*(($AE$1-$AD$1)/119)</f>
      </c>
      <c r="O81">
        <f>IF(Yeterlilik!$N$30=0,0,Yeterlilik!$N$24*$AF$1*NORMDIST(N81,Yeterlilik!$N$25,Yeterlilik!$N$30,FALSE))</f>
      </c>
      <c r="X81">
        <f>IF(80&gt;Yeterlilik!$N$24,"",SMALL($B$2:$B$126,80))</f>
      </c>
      <c r="Y81">
        <f>IF(X81="","",NORMSINV((80-0.375)/(Yeterlilik!$N$24+0.25)))</f>
      </c>
      <c r="AH81">
        <f>IF(X81="","",NORMSDIST((X81-Yeterlilik!$N$25)/Yeterlilik!$N$30))</f>
      </c>
      <c r="AI81">
        <f>IF(OR(X81="",AH81&lt;=0,AH81&gt;=1),0,(80*2-1)*(LN(AH81)+LN(1-INDEX($AH$2:$AH$126,Yeterlilik!$N$24+1-80))))</f>
      </c>
      <c r="AM81">
        <f t="shared" si="10"/>
      </c>
      <c r="AT81">
        <f t="shared" si="11"/>
      </c>
      <c r="AZ81">
        <f t="shared" si="12"/>
      </c>
      <c r="BB81">
        <f t="shared" si="13"/>
      </c>
    </row>
    <row r="82" spans="1:54" x14ac:dyDescent="0.3">
      <c r="A82">
        <f>IF(B82="","",81)</f>
      </c>
      <c r="B82">
        <f>IF(Yeterlilik!$D$39="","",Yeterlilik!$D$39)</f>
      </c>
      <c r="N82">
        <f>$AD$1+80*(($AE$1-$AD$1)/119)</f>
      </c>
      <c r="O82">
        <f>IF(Yeterlilik!$N$30=0,0,Yeterlilik!$N$24*$AF$1*NORMDIST(N82,Yeterlilik!$N$25,Yeterlilik!$N$30,FALSE))</f>
      </c>
      <c r="X82">
        <f>IF(81&gt;Yeterlilik!$N$24,"",SMALL($B$2:$B$126,81))</f>
      </c>
      <c r="Y82">
        <f>IF(X82="","",NORMSINV((81-0.375)/(Yeterlilik!$N$24+0.25)))</f>
      </c>
      <c r="AH82">
        <f>IF(X82="","",NORMSDIST((X82-Yeterlilik!$N$25)/Yeterlilik!$N$30))</f>
      </c>
      <c r="AI82">
        <f>IF(OR(X82="",AH82&lt;=0,AH82&gt;=1),0,(81*2-1)*(LN(AH82)+LN(1-INDEX($AH$2:$AH$126,Yeterlilik!$N$24+1-81))))</f>
      </c>
      <c r="AM82">
        <f t="shared" si="10"/>
      </c>
      <c r="AT82">
        <f t="shared" si="11"/>
      </c>
      <c r="AZ82">
        <f t="shared" si="12"/>
      </c>
      <c r="BB82">
        <f t="shared" si="13"/>
      </c>
    </row>
    <row r="83" spans="1:54" x14ac:dyDescent="0.3">
      <c r="A83">
        <f>IF(B83="","",82)</f>
      </c>
      <c r="B83">
        <f>IF(Yeterlilik!$D$40="","",Yeterlilik!$D$40)</f>
      </c>
      <c r="N83">
        <f>$AD$1+81*(($AE$1-$AD$1)/119)</f>
      </c>
      <c r="O83">
        <f>IF(Yeterlilik!$N$30=0,0,Yeterlilik!$N$24*$AF$1*NORMDIST(N83,Yeterlilik!$N$25,Yeterlilik!$N$30,FALSE))</f>
      </c>
      <c r="X83">
        <f>IF(82&gt;Yeterlilik!$N$24,"",SMALL($B$2:$B$126,82))</f>
      </c>
      <c r="Y83">
        <f>IF(X83="","",NORMSINV((82-0.375)/(Yeterlilik!$N$24+0.25)))</f>
      </c>
      <c r="AH83">
        <f>IF(X83="","",NORMSDIST((X83-Yeterlilik!$N$25)/Yeterlilik!$N$30))</f>
      </c>
      <c r="AI83">
        <f>IF(OR(X83="",AH83&lt;=0,AH83&gt;=1),0,(82*2-1)*(LN(AH83)+LN(1-INDEX($AH$2:$AH$126,Yeterlilik!$N$24+1-82))))</f>
      </c>
      <c r="AM83">
        <f t="shared" si="10"/>
      </c>
      <c r="AT83">
        <f t="shared" si="11"/>
      </c>
      <c r="AZ83">
        <f t="shared" si="12"/>
      </c>
      <c r="BB83">
        <f t="shared" si="13"/>
      </c>
    </row>
    <row r="84" spans="1:54" x14ac:dyDescent="0.3">
      <c r="A84">
        <f>IF(B84="","",83)</f>
      </c>
      <c r="B84">
        <f>IF(Yeterlilik!$D$41="","",Yeterlilik!$D$41)</f>
      </c>
      <c r="N84">
        <f>$AD$1+82*(($AE$1-$AD$1)/119)</f>
      </c>
      <c r="O84">
        <f>IF(Yeterlilik!$N$30=0,0,Yeterlilik!$N$24*$AF$1*NORMDIST(N84,Yeterlilik!$N$25,Yeterlilik!$N$30,FALSE))</f>
      </c>
      <c r="X84">
        <f>IF(83&gt;Yeterlilik!$N$24,"",SMALL($B$2:$B$126,83))</f>
      </c>
      <c r="Y84">
        <f>IF(X84="","",NORMSINV((83-0.375)/(Yeterlilik!$N$24+0.25)))</f>
      </c>
      <c r="AH84">
        <f>IF(X84="","",NORMSDIST((X84-Yeterlilik!$N$25)/Yeterlilik!$N$30))</f>
      </c>
      <c r="AI84">
        <f>IF(OR(X84="",AH84&lt;=0,AH84&gt;=1),0,(83*2-1)*(LN(AH84)+LN(1-INDEX($AH$2:$AH$126,Yeterlilik!$N$24+1-83))))</f>
      </c>
      <c r="AM84">
        <f t="shared" si="10"/>
      </c>
      <c r="AT84">
        <f t="shared" si="11"/>
      </c>
      <c r="AZ84">
        <f t="shared" si="12"/>
      </c>
      <c r="BB84">
        <f t="shared" si="13"/>
      </c>
    </row>
    <row r="85" spans="1:54" x14ac:dyDescent="0.3">
      <c r="A85">
        <f>IF(B85="","",84)</f>
      </c>
      <c r="B85">
        <f>IF(Yeterlilik!$D$42="","",Yeterlilik!$D$42)</f>
      </c>
      <c r="N85">
        <f>$AD$1+83*(($AE$1-$AD$1)/119)</f>
      </c>
      <c r="O85">
        <f>IF(Yeterlilik!$N$30=0,0,Yeterlilik!$N$24*$AF$1*NORMDIST(N85,Yeterlilik!$N$25,Yeterlilik!$N$30,FALSE))</f>
      </c>
      <c r="X85">
        <f>IF(84&gt;Yeterlilik!$N$24,"",SMALL($B$2:$B$126,84))</f>
      </c>
      <c r="Y85">
        <f>IF(X85="","",NORMSINV((84-0.375)/(Yeterlilik!$N$24+0.25)))</f>
      </c>
      <c r="AH85">
        <f>IF(X85="","",NORMSDIST((X85-Yeterlilik!$N$25)/Yeterlilik!$N$30))</f>
      </c>
      <c r="AI85">
        <f>IF(OR(X85="",AH85&lt;=0,AH85&gt;=1),0,(84*2-1)*(LN(AH85)+LN(1-INDEX($AH$2:$AH$126,Yeterlilik!$N$24+1-84))))</f>
      </c>
      <c r="AM85">
        <f t="shared" si="10"/>
      </c>
      <c r="AT85">
        <f t="shared" si="11"/>
      </c>
      <c r="AZ85">
        <f t="shared" si="12"/>
      </c>
      <c r="BB85">
        <f t="shared" si="13"/>
      </c>
    </row>
    <row r="86" spans="1:54" x14ac:dyDescent="0.3">
      <c r="A86">
        <f>IF(B86="","",85)</f>
      </c>
      <c r="B86">
        <f>IF(Yeterlilik!$D$43="","",Yeterlilik!$D$43)</f>
      </c>
      <c r="N86">
        <f>$AD$1+84*(($AE$1-$AD$1)/119)</f>
      </c>
      <c r="O86">
        <f>IF(Yeterlilik!$N$30=0,0,Yeterlilik!$N$24*$AF$1*NORMDIST(N86,Yeterlilik!$N$25,Yeterlilik!$N$30,FALSE))</f>
      </c>
      <c r="X86">
        <f>IF(85&gt;Yeterlilik!$N$24,"",SMALL($B$2:$B$126,85))</f>
      </c>
      <c r="Y86">
        <f>IF(X86="","",NORMSINV((85-0.375)/(Yeterlilik!$N$24+0.25)))</f>
      </c>
      <c r="AH86">
        <f>IF(X86="","",NORMSDIST((X86-Yeterlilik!$N$25)/Yeterlilik!$N$30))</f>
      </c>
      <c r="AI86">
        <f>IF(OR(X86="",AH86&lt;=0,AH86&gt;=1),0,(85*2-1)*(LN(AH86)+LN(1-INDEX($AH$2:$AH$126,Yeterlilik!$N$24+1-85))))</f>
      </c>
      <c r="AM86">
        <f t="shared" si="10"/>
      </c>
      <c r="AT86">
        <f t="shared" si="11"/>
      </c>
      <c r="AZ86">
        <f t="shared" si="12"/>
      </c>
      <c r="BB86">
        <f t="shared" si="13"/>
      </c>
    </row>
    <row r="87" spans="1:54" x14ac:dyDescent="0.3">
      <c r="A87">
        <f>IF(B87="","",86)</f>
      </c>
      <c r="B87">
        <f>IF(Yeterlilik!$D$44="","",Yeterlilik!$D$44)</f>
      </c>
      <c r="N87">
        <f>$AD$1+85*(($AE$1-$AD$1)/119)</f>
      </c>
      <c r="O87">
        <f>IF(Yeterlilik!$N$30=0,0,Yeterlilik!$N$24*$AF$1*NORMDIST(N87,Yeterlilik!$N$25,Yeterlilik!$N$30,FALSE))</f>
      </c>
      <c r="X87">
        <f>IF(86&gt;Yeterlilik!$N$24,"",SMALL($B$2:$B$126,86))</f>
      </c>
      <c r="Y87">
        <f>IF(X87="","",NORMSINV((86-0.375)/(Yeterlilik!$N$24+0.25)))</f>
      </c>
      <c r="AH87">
        <f>IF(X87="","",NORMSDIST((X87-Yeterlilik!$N$25)/Yeterlilik!$N$30))</f>
      </c>
      <c r="AI87">
        <f>IF(OR(X87="",AH87&lt;=0,AH87&gt;=1),0,(86*2-1)*(LN(AH87)+LN(1-INDEX($AH$2:$AH$126,Yeterlilik!$N$24+1-86))))</f>
      </c>
      <c r="AM87">
        <f t="shared" si="10"/>
      </c>
      <c r="AT87">
        <f t="shared" si="11"/>
      </c>
      <c r="AZ87">
        <f t="shared" si="12"/>
      </c>
      <c r="BB87">
        <f t="shared" si="13"/>
      </c>
    </row>
    <row r="88" spans="1:54" x14ac:dyDescent="0.3">
      <c r="A88">
        <f>IF(B88="","",87)</f>
      </c>
      <c r="B88">
        <f>IF(Yeterlilik!$D$45="","",Yeterlilik!$D$45)</f>
      </c>
      <c r="N88">
        <f>$AD$1+86*(($AE$1-$AD$1)/119)</f>
      </c>
      <c r="O88">
        <f>IF(Yeterlilik!$N$30=0,0,Yeterlilik!$N$24*$AF$1*NORMDIST(N88,Yeterlilik!$N$25,Yeterlilik!$N$30,FALSE))</f>
      </c>
      <c r="X88">
        <f>IF(87&gt;Yeterlilik!$N$24,"",SMALL($B$2:$B$126,87))</f>
      </c>
      <c r="Y88">
        <f>IF(X88="","",NORMSINV((87-0.375)/(Yeterlilik!$N$24+0.25)))</f>
      </c>
      <c r="AH88">
        <f>IF(X88="","",NORMSDIST((X88-Yeterlilik!$N$25)/Yeterlilik!$N$30))</f>
      </c>
      <c r="AI88">
        <f>IF(OR(X88="",AH88&lt;=0,AH88&gt;=1),0,(87*2-1)*(LN(AH88)+LN(1-INDEX($AH$2:$AH$126,Yeterlilik!$N$24+1-87))))</f>
      </c>
      <c r="AM88">
        <f t="shared" si="10"/>
      </c>
      <c r="AT88">
        <f t="shared" si="11"/>
      </c>
      <c r="AZ88">
        <f t="shared" si="12"/>
      </c>
      <c r="BB88">
        <f t="shared" si="13"/>
      </c>
    </row>
    <row r="89" spans="1:54" x14ac:dyDescent="0.3">
      <c r="A89">
        <f>IF(B89="","",88)</f>
      </c>
      <c r="B89">
        <f>IF(Yeterlilik!$D$46="","",Yeterlilik!$D$46)</f>
      </c>
      <c r="N89">
        <f>$AD$1+87*(($AE$1-$AD$1)/119)</f>
      </c>
      <c r="O89">
        <f>IF(Yeterlilik!$N$30=0,0,Yeterlilik!$N$24*$AF$1*NORMDIST(N89,Yeterlilik!$N$25,Yeterlilik!$N$30,FALSE))</f>
      </c>
      <c r="X89">
        <f>IF(88&gt;Yeterlilik!$N$24,"",SMALL($B$2:$B$126,88))</f>
      </c>
      <c r="Y89">
        <f>IF(X89="","",NORMSINV((88-0.375)/(Yeterlilik!$N$24+0.25)))</f>
      </c>
      <c r="AH89">
        <f>IF(X89="","",NORMSDIST((X89-Yeterlilik!$N$25)/Yeterlilik!$N$30))</f>
      </c>
      <c r="AI89">
        <f>IF(OR(X89="",AH89&lt;=0,AH89&gt;=1),0,(88*2-1)*(LN(AH89)+LN(1-INDEX($AH$2:$AH$126,Yeterlilik!$N$24+1-88))))</f>
      </c>
      <c r="AM89">
        <f t="shared" si="10"/>
      </c>
      <c r="AT89">
        <f t="shared" si="11"/>
      </c>
      <c r="AZ89">
        <f t="shared" si="12"/>
      </c>
      <c r="BB89">
        <f t="shared" si="13"/>
      </c>
    </row>
    <row r="90" spans="1:54" x14ac:dyDescent="0.3">
      <c r="A90">
        <f>IF(B90="","",89)</f>
      </c>
      <c r="B90">
        <f>IF(Yeterlilik!$D$47="","",Yeterlilik!$D$47)</f>
      </c>
      <c r="N90">
        <f>$AD$1+88*(($AE$1-$AD$1)/119)</f>
      </c>
      <c r="O90">
        <f>IF(Yeterlilik!$N$30=0,0,Yeterlilik!$N$24*$AF$1*NORMDIST(N90,Yeterlilik!$N$25,Yeterlilik!$N$30,FALSE))</f>
      </c>
      <c r="X90">
        <f>IF(89&gt;Yeterlilik!$N$24,"",SMALL($B$2:$B$126,89))</f>
      </c>
      <c r="Y90">
        <f>IF(X90="","",NORMSINV((89-0.375)/(Yeterlilik!$N$24+0.25)))</f>
      </c>
      <c r="AH90">
        <f>IF(X90="","",NORMSDIST((X90-Yeterlilik!$N$25)/Yeterlilik!$N$30))</f>
      </c>
      <c r="AI90">
        <f>IF(OR(X90="",AH90&lt;=0,AH90&gt;=1),0,(89*2-1)*(LN(AH90)+LN(1-INDEX($AH$2:$AH$126,Yeterlilik!$N$24+1-89))))</f>
      </c>
      <c r="AM90">
        <f t="shared" si="10"/>
      </c>
      <c r="AT90">
        <f t="shared" si="11"/>
      </c>
      <c r="AZ90">
        <f t="shared" si="12"/>
      </c>
      <c r="BB90">
        <f t="shared" si="13"/>
      </c>
    </row>
    <row r="91" spans="1:54" x14ac:dyDescent="0.3">
      <c r="A91">
        <f>IF(B91="","",90)</f>
      </c>
      <c r="B91">
        <f>IF(Yeterlilik!$D$48="","",Yeterlilik!$D$48)</f>
      </c>
      <c r="N91">
        <f>$AD$1+89*(($AE$1-$AD$1)/119)</f>
      </c>
      <c r="O91">
        <f>IF(Yeterlilik!$N$30=0,0,Yeterlilik!$N$24*$AF$1*NORMDIST(N91,Yeterlilik!$N$25,Yeterlilik!$N$30,FALSE))</f>
      </c>
      <c r="X91">
        <f>IF(90&gt;Yeterlilik!$N$24,"",SMALL($B$2:$B$126,90))</f>
      </c>
      <c r="Y91">
        <f>IF(X91="","",NORMSINV((90-0.375)/(Yeterlilik!$N$24+0.25)))</f>
      </c>
      <c r="AH91">
        <f>IF(X91="","",NORMSDIST((X91-Yeterlilik!$N$25)/Yeterlilik!$N$30))</f>
      </c>
      <c r="AI91">
        <f>IF(OR(X91="",AH91&lt;=0,AH91&gt;=1),0,(90*2-1)*(LN(AH91)+LN(1-INDEX($AH$2:$AH$126,Yeterlilik!$N$24+1-90))))</f>
      </c>
      <c r="AM91">
        <f t="shared" si="10"/>
      </c>
      <c r="AT91">
        <f t="shared" si="11"/>
      </c>
      <c r="AZ91">
        <f t="shared" si="12"/>
      </c>
      <c r="BB91">
        <f t="shared" si="13"/>
      </c>
    </row>
    <row r="92" spans="1:54" x14ac:dyDescent="0.3">
      <c r="A92">
        <f>IF(B92="","",91)</f>
      </c>
      <c r="B92">
        <f>IF(Yeterlilik!$D$49="","",Yeterlilik!$D$49)</f>
      </c>
      <c r="N92">
        <f>$AD$1+90*(($AE$1-$AD$1)/119)</f>
      </c>
      <c r="O92">
        <f>IF(Yeterlilik!$N$30=0,0,Yeterlilik!$N$24*$AF$1*NORMDIST(N92,Yeterlilik!$N$25,Yeterlilik!$N$30,FALSE))</f>
      </c>
      <c r="X92">
        <f>IF(91&gt;Yeterlilik!$N$24,"",SMALL($B$2:$B$126,91))</f>
      </c>
      <c r="Y92">
        <f>IF(X92="","",NORMSINV((91-0.375)/(Yeterlilik!$N$24+0.25)))</f>
      </c>
      <c r="AH92">
        <f>IF(X92="","",NORMSDIST((X92-Yeterlilik!$N$25)/Yeterlilik!$N$30))</f>
      </c>
      <c r="AI92">
        <f>IF(OR(X92="",AH92&lt;=0,AH92&gt;=1),0,(91*2-1)*(LN(AH92)+LN(1-INDEX($AH$2:$AH$126,Yeterlilik!$N$24+1-91))))</f>
      </c>
      <c r="AM92">
        <f t="shared" si="10"/>
      </c>
      <c r="AT92">
        <f t="shared" si="11"/>
      </c>
      <c r="AZ92">
        <f t="shared" si="12"/>
      </c>
      <c r="BB92">
        <f t="shared" si="13"/>
      </c>
    </row>
    <row r="93" spans="1:54" x14ac:dyDescent="0.3">
      <c r="A93">
        <f>IF(B93="","",92)</f>
      </c>
      <c r="B93">
        <f>IF(Yeterlilik!$D$50="","",Yeterlilik!$D$50)</f>
      </c>
      <c r="N93">
        <f>$AD$1+91*(($AE$1-$AD$1)/119)</f>
      </c>
      <c r="O93">
        <f>IF(Yeterlilik!$N$30=0,0,Yeterlilik!$N$24*$AF$1*NORMDIST(N93,Yeterlilik!$N$25,Yeterlilik!$N$30,FALSE))</f>
      </c>
      <c r="X93">
        <f>IF(92&gt;Yeterlilik!$N$24,"",SMALL($B$2:$B$126,92))</f>
      </c>
      <c r="Y93">
        <f>IF(X93="","",NORMSINV((92-0.375)/(Yeterlilik!$N$24+0.25)))</f>
      </c>
      <c r="AH93">
        <f>IF(X93="","",NORMSDIST((X93-Yeterlilik!$N$25)/Yeterlilik!$N$30))</f>
      </c>
      <c r="AI93">
        <f>IF(OR(X93="",AH93&lt;=0,AH93&gt;=1),0,(92*2-1)*(LN(AH93)+LN(1-INDEX($AH$2:$AH$126,Yeterlilik!$N$24+1-92))))</f>
      </c>
      <c r="AM93">
        <f t="shared" si="10"/>
      </c>
      <c r="AT93">
        <f t="shared" si="11"/>
      </c>
      <c r="AZ93">
        <f t="shared" si="12"/>
      </c>
      <c r="BB93">
        <f t="shared" si="13"/>
      </c>
    </row>
    <row r="94" spans="1:54" x14ac:dyDescent="0.3">
      <c r="A94">
        <f>IF(B94="","",93)</f>
      </c>
      <c r="B94">
        <f>IF(Yeterlilik!$D$51="","",Yeterlilik!$D$51)</f>
      </c>
      <c r="N94">
        <f>$AD$1+92*(($AE$1-$AD$1)/119)</f>
      </c>
      <c r="O94">
        <f>IF(Yeterlilik!$N$30=0,0,Yeterlilik!$N$24*$AF$1*NORMDIST(N94,Yeterlilik!$N$25,Yeterlilik!$N$30,FALSE))</f>
      </c>
      <c r="X94">
        <f>IF(93&gt;Yeterlilik!$N$24,"",SMALL($B$2:$B$126,93))</f>
      </c>
      <c r="Y94">
        <f>IF(X94="","",NORMSINV((93-0.375)/(Yeterlilik!$N$24+0.25)))</f>
      </c>
      <c r="AH94">
        <f>IF(X94="","",NORMSDIST((X94-Yeterlilik!$N$25)/Yeterlilik!$N$30))</f>
      </c>
      <c r="AI94">
        <f>IF(OR(X94="",AH94&lt;=0,AH94&gt;=1),0,(93*2-1)*(LN(AH94)+LN(1-INDEX($AH$2:$AH$126,Yeterlilik!$N$24+1-93))))</f>
      </c>
      <c r="AM94">
        <f t="shared" si="10"/>
      </c>
      <c r="AT94">
        <f t="shared" si="11"/>
      </c>
      <c r="AZ94">
        <f t="shared" si="12"/>
      </c>
      <c r="BB94">
        <f t="shared" si="13"/>
      </c>
    </row>
    <row r="95" spans="1:54" x14ac:dyDescent="0.3">
      <c r="A95">
        <f>IF(B95="","",94)</f>
      </c>
      <c r="B95">
        <f>IF(Yeterlilik!$D$52="","",Yeterlilik!$D$52)</f>
      </c>
      <c r="N95">
        <f>$AD$1+93*(($AE$1-$AD$1)/119)</f>
      </c>
      <c r="O95">
        <f>IF(Yeterlilik!$N$30=0,0,Yeterlilik!$N$24*$AF$1*NORMDIST(N95,Yeterlilik!$N$25,Yeterlilik!$N$30,FALSE))</f>
      </c>
      <c r="X95">
        <f>IF(94&gt;Yeterlilik!$N$24,"",SMALL($B$2:$B$126,94))</f>
      </c>
      <c r="Y95">
        <f>IF(X95="","",NORMSINV((94-0.375)/(Yeterlilik!$N$24+0.25)))</f>
      </c>
      <c r="AH95">
        <f>IF(X95="","",NORMSDIST((X95-Yeterlilik!$N$25)/Yeterlilik!$N$30))</f>
      </c>
      <c r="AI95">
        <f>IF(OR(X95="",AH95&lt;=0,AH95&gt;=1),0,(94*2-1)*(LN(AH95)+LN(1-INDEX($AH$2:$AH$126,Yeterlilik!$N$24+1-94))))</f>
      </c>
      <c r="AM95">
        <f t="shared" si="10"/>
      </c>
      <c r="AT95">
        <f t="shared" si="11"/>
      </c>
      <c r="AZ95">
        <f t="shared" si="12"/>
      </c>
      <c r="BB95">
        <f t="shared" si="13"/>
      </c>
    </row>
    <row r="96" spans="1:54" x14ac:dyDescent="0.3">
      <c r="A96">
        <f>IF(B96="","",95)</f>
      </c>
      <c r="B96">
        <f>IF(Yeterlilik!$D$53="","",Yeterlilik!$D$53)</f>
      </c>
      <c r="N96">
        <f>$AD$1+94*(($AE$1-$AD$1)/119)</f>
      </c>
      <c r="O96">
        <f>IF(Yeterlilik!$N$30=0,0,Yeterlilik!$N$24*$AF$1*NORMDIST(N96,Yeterlilik!$N$25,Yeterlilik!$N$30,FALSE))</f>
      </c>
      <c r="X96">
        <f>IF(95&gt;Yeterlilik!$N$24,"",SMALL($B$2:$B$126,95))</f>
      </c>
      <c r="Y96">
        <f>IF(X96="","",NORMSINV((95-0.375)/(Yeterlilik!$N$24+0.25)))</f>
      </c>
      <c r="AH96">
        <f>IF(X96="","",NORMSDIST((X96-Yeterlilik!$N$25)/Yeterlilik!$N$30))</f>
      </c>
      <c r="AI96">
        <f>IF(OR(X96="",AH96&lt;=0,AH96&gt;=1),0,(95*2-1)*(LN(AH96)+LN(1-INDEX($AH$2:$AH$126,Yeterlilik!$N$24+1-95))))</f>
      </c>
      <c r="AM96">
        <f t="shared" si="10"/>
      </c>
      <c r="AT96">
        <f t="shared" si="11"/>
      </c>
      <c r="AZ96">
        <f t="shared" si="12"/>
      </c>
      <c r="BB96">
        <f t="shared" si="13"/>
      </c>
    </row>
    <row r="97" spans="1:54" x14ac:dyDescent="0.3">
      <c r="A97">
        <f>IF(B97="","",96)</f>
      </c>
      <c r="B97">
        <f>IF(Yeterlilik!$D$54="","",Yeterlilik!$D$54)</f>
      </c>
      <c r="N97">
        <f>$AD$1+95*(($AE$1-$AD$1)/119)</f>
      </c>
      <c r="O97">
        <f>IF(Yeterlilik!$N$30=0,0,Yeterlilik!$N$24*$AF$1*NORMDIST(N97,Yeterlilik!$N$25,Yeterlilik!$N$30,FALSE))</f>
      </c>
      <c r="X97">
        <f>IF(96&gt;Yeterlilik!$N$24,"",SMALL($B$2:$B$126,96))</f>
      </c>
      <c r="Y97">
        <f>IF(X97="","",NORMSINV((96-0.375)/(Yeterlilik!$N$24+0.25)))</f>
      </c>
      <c r="AH97">
        <f>IF(X97="","",NORMSDIST((X97-Yeterlilik!$N$25)/Yeterlilik!$N$30))</f>
      </c>
      <c r="AI97">
        <f>IF(OR(X97="",AH97&lt;=0,AH97&gt;=1),0,(96*2-1)*(LN(AH97)+LN(1-INDEX($AH$2:$AH$126,Yeterlilik!$N$24+1-96))))</f>
      </c>
      <c r="AM97">
        <f t="shared" si="10"/>
      </c>
      <c r="AT97">
        <f t="shared" si="11"/>
      </c>
      <c r="AZ97">
        <f t="shared" si="12"/>
      </c>
      <c r="BB97">
        <f t="shared" si="13"/>
      </c>
    </row>
    <row r="98" spans="1:54" x14ac:dyDescent="0.3">
      <c r="A98">
        <f>IF(B98="","",97)</f>
      </c>
      <c r="B98">
        <f>IF(Yeterlilik!$D$55="","",Yeterlilik!$D$55)</f>
      </c>
      <c r="N98">
        <f>$AD$1+96*(($AE$1-$AD$1)/119)</f>
      </c>
      <c r="O98">
        <f>IF(Yeterlilik!$N$30=0,0,Yeterlilik!$N$24*$AF$1*NORMDIST(N98,Yeterlilik!$N$25,Yeterlilik!$N$30,FALSE))</f>
      </c>
      <c r="X98">
        <f>IF(97&gt;Yeterlilik!$N$24,"",SMALL($B$2:$B$126,97))</f>
      </c>
      <c r="Y98">
        <f>IF(X98="","",NORMSINV((97-0.375)/(Yeterlilik!$N$24+0.25)))</f>
      </c>
      <c r="AH98">
        <f>IF(X98="","",NORMSDIST((X98-Yeterlilik!$N$25)/Yeterlilik!$N$30))</f>
      </c>
      <c r="AI98">
        <f>IF(OR(X98="",AH98&lt;=0,AH98&gt;=1),0,(97*2-1)*(LN(AH98)+LN(1-INDEX($AH$2:$AH$126,Yeterlilik!$N$24+1-97))))</f>
      </c>
      <c r="AM98">
        <f t="shared" ref="AM98:AM126" si="14">IF(B98="",NA(),B98-$AM$1)</f>
      </c>
      <c r="AT98">
        <f t="shared" ref="AT98:AT121" si="15">N98-$AM$1</f>
      </c>
      <c r="AZ98">
        <f t="shared" ref="AZ98:AZ126" si="16">IF(X98="",NA(),X98-$AM$1)</f>
      </c>
      <c r="BB98">
        <f t="shared" ref="BB98:BB126" si="17">IF(Y98="",NA(),Y98)</f>
      </c>
    </row>
    <row r="99" spans="1:54" x14ac:dyDescent="0.3">
      <c r="A99">
        <f>IF(B99="","",98)</f>
      </c>
      <c r="B99">
        <f>IF(Yeterlilik!$D$56="","",Yeterlilik!$D$56)</f>
      </c>
      <c r="N99">
        <f>$AD$1+97*(($AE$1-$AD$1)/119)</f>
      </c>
      <c r="O99">
        <f>IF(Yeterlilik!$N$30=0,0,Yeterlilik!$N$24*$AF$1*NORMDIST(N99,Yeterlilik!$N$25,Yeterlilik!$N$30,FALSE))</f>
      </c>
      <c r="X99">
        <f>IF(98&gt;Yeterlilik!$N$24,"",SMALL($B$2:$B$126,98))</f>
      </c>
      <c r="Y99">
        <f>IF(X99="","",NORMSINV((98-0.375)/(Yeterlilik!$N$24+0.25)))</f>
      </c>
      <c r="AH99">
        <f>IF(X99="","",NORMSDIST((X99-Yeterlilik!$N$25)/Yeterlilik!$N$30))</f>
      </c>
      <c r="AI99">
        <f>IF(OR(X99="",AH99&lt;=0,AH99&gt;=1),0,(98*2-1)*(LN(AH99)+LN(1-INDEX($AH$2:$AH$126,Yeterlilik!$N$24+1-98))))</f>
      </c>
      <c r="AM99">
        <f t="shared" si="14"/>
      </c>
      <c r="AT99">
        <f t="shared" si="15"/>
      </c>
      <c r="AZ99">
        <f t="shared" si="16"/>
      </c>
      <c r="BB99">
        <f t="shared" si="17"/>
      </c>
    </row>
    <row r="100" spans="1:54" x14ac:dyDescent="0.3">
      <c r="A100">
        <f>IF(B100="","",99)</f>
      </c>
      <c r="B100">
        <f>IF(Yeterlilik!$D$57="","",Yeterlilik!$D$57)</f>
      </c>
      <c r="N100">
        <f>$AD$1+98*(($AE$1-$AD$1)/119)</f>
      </c>
      <c r="O100">
        <f>IF(Yeterlilik!$N$30=0,0,Yeterlilik!$N$24*$AF$1*NORMDIST(N100,Yeterlilik!$N$25,Yeterlilik!$N$30,FALSE))</f>
      </c>
      <c r="X100">
        <f>IF(99&gt;Yeterlilik!$N$24,"",SMALL($B$2:$B$126,99))</f>
      </c>
      <c r="Y100">
        <f>IF(X100="","",NORMSINV((99-0.375)/(Yeterlilik!$N$24+0.25)))</f>
      </c>
      <c r="AH100">
        <f>IF(X100="","",NORMSDIST((X100-Yeterlilik!$N$25)/Yeterlilik!$N$30))</f>
      </c>
      <c r="AI100">
        <f>IF(OR(X100="",AH100&lt;=0,AH100&gt;=1),0,(99*2-1)*(LN(AH100)+LN(1-INDEX($AH$2:$AH$126,Yeterlilik!$N$24+1-99))))</f>
      </c>
      <c r="AM100">
        <f t="shared" si="14"/>
      </c>
      <c r="AT100">
        <f t="shared" si="15"/>
      </c>
      <c r="AZ100">
        <f t="shared" si="16"/>
      </c>
      <c r="BB100">
        <f t="shared" si="17"/>
      </c>
    </row>
    <row r="101" spans="1:54" x14ac:dyDescent="0.3">
      <c r="A101">
        <f>IF(B101="","",100)</f>
      </c>
      <c r="B101">
        <f>IF(Yeterlilik!$D$58="","",Yeterlilik!$D$58)</f>
      </c>
      <c r="N101">
        <f>$AD$1+99*(($AE$1-$AD$1)/119)</f>
      </c>
      <c r="O101">
        <f>IF(Yeterlilik!$N$30=0,0,Yeterlilik!$N$24*$AF$1*NORMDIST(N101,Yeterlilik!$N$25,Yeterlilik!$N$30,FALSE))</f>
      </c>
      <c r="X101">
        <f>IF(100&gt;Yeterlilik!$N$24,"",SMALL($B$2:$B$126,100))</f>
      </c>
      <c r="Y101">
        <f>IF(X101="","",NORMSINV((100-0.375)/(Yeterlilik!$N$24+0.25)))</f>
      </c>
      <c r="AH101">
        <f>IF(X101="","",NORMSDIST((X101-Yeterlilik!$N$25)/Yeterlilik!$N$30))</f>
      </c>
      <c r="AI101">
        <f>IF(OR(X101="",AH101&lt;=0,AH101&gt;=1),0,(100*2-1)*(LN(AH101)+LN(1-INDEX($AH$2:$AH$126,Yeterlilik!$N$24+1-100))))</f>
      </c>
      <c r="AM101">
        <f t="shared" si="14"/>
      </c>
      <c r="AT101">
        <f t="shared" si="15"/>
      </c>
      <c r="AZ101">
        <f t="shared" si="16"/>
      </c>
      <c r="BB101">
        <f t="shared" si="17"/>
      </c>
    </row>
    <row r="102" spans="1:54" x14ac:dyDescent="0.3">
      <c r="A102">
        <f>IF(B102="","",101)</f>
      </c>
      <c r="B102">
        <f>IF(Yeterlilik!$F$9="","",Yeterlilik!$F$9)</f>
      </c>
      <c r="N102">
        <f>$AD$1+100*(($AE$1-$AD$1)/119)</f>
      </c>
      <c r="O102">
        <f>IF(Yeterlilik!$N$30=0,0,Yeterlilik!$N$24*$AF$1*NORMDIST(N102,Yeterlilik!$N$25,Yeterlilik!$N$30,FALSE))</f>
      </c>
      <c r="X102">
        <f>IF(101&gt;Yeterlilik!$N$24,"",SMALL($B$2:$B$126,101))</f>
      </c>
      <c r="Y102">
        <f>IF(X102="","",NORMSINV((101-0.375)/(Yeterlilik!$N$24+0.25)))</f>
      </c>
      <c r="AH102">
        <f>IF(X102="","",NORMSDIST((X102-Yeterlilik!$N$25)/Yeterlilik!$N$30))</f>
      </c>
      <c r="AI102">
        <f>IF(OR(X102="",AH102&lt;=0,AH102&gt;=1),0,(101*2-1)*(LN(AH102)+LN(1-INDEX($AH$2:$AH$126,Yeterlilik!$N$24+1-101))))</f>
      </c>
      <c r="AM102">
        <f t="shared" si="14"/>
      </c>
      <c r="AT102">
        <f t="shared" si="15"/>
      </c>
      <c r="AZ102">
        <f t="shared" si="16"/>
      </c>
      <c r="BB102">
        <f t="shared" si="17"/>
      </c>
    </row>
    <row r="103" spans="1:54" x14ac:dyDescent="0.3">
      <c r="A103">
        <f>IF(B103="","",102)</f>
      </c>
      <c r="B103">
        <f>IF(Yeterlilik!$F$10="","",Yeterlilik!$F$10)</f>
      </c>
      <c r="N103">
        <f>$AD$1+101*(($AE$1-$AD$1)/119)</f>
      </c>
      <c r="O103">
        <f>IF(Yeterlilik!$N$30=0,0,Yeterlilik!$N$24*$AF$1*NORMDIST(N103,Yeterlilik!$N$25,Yeterlilik!$N$30,FALSE))</f>
      </c>
      <c r="X103">
        <f>IF(102&gt;Yeterlilik!$N$24,"",SMALL($B$2:$B$126,102))</f>
      </c>
      <c r="Y103">
        <f>IF(X103="","",NORMSINV((102-0.375)/(Yeterlilik!$N$24+0.25)))</f>
      </c>
      <c r="AH103">
        <f>IF(X103="","",NORMSDIST((X103-Yeterlilik!$N$25)/Yeterlilik!$N$30))</f>
      </c>
      <c r="AI103">
        <f>IF(OR(X103="",AH103&lt;=0,AH103&gt;=1),0,(102*2-1)*(LN(AH103)+LN(1-INDEX($AH$2:$AH$126,Yeterlilik!$N$24+1-102))))</f>
      </c>
      <c r="AM103">
        <f t="shared" si="14"/>
      </c>
      <c r="AT103">
        <f t="shared" si="15"/>
      </c>
      <c r="AZ103">
        <f t="shared" si="16"/>
      </c>
      <c r="BB103">
        <f t="shared" si="17"/>
      </c>
    </row>
    <row r="104" spans="1:54" x14ac:dyDescent="0.3">
      <c r="A104">
        <f>IF(B104="","",103)</f>
      </c>
      <c r="B104">
        <f>IF(Yeterlilik!$F$11="","",Yeterlilik!$F$11)</f>
      </c>
      <c r="N104">
        <f>$AD$1+102*(($AE$1-$AD$1)/119)</f>
      </c>
      <c r="O104">
        <f>IF(Yeterlilik!$N$30=0,0,Yeterlilik!$N$24*$AF$1*NORMDIST(N104,Yeterlilik!$N$25,Yeterlilik!$N$30,FALSE))</f>
      </c>
      <c r="X104">
        <f>IF(103&gt;Yeterlilik!$N$24,"",SMALL($B$2:$B$126,103))</f>
      </c>
      <c r="Y104">
        <f>IF(X104="","",NORMSINV((103-0.375)/(Yeterlilik!$N$24+0.25)))</f>
      </c>
      <c r="AH104">
        <f>IF(X104="","",NORMSDIST((X104-Yeterlilik!$N$25)/Yeterlilik!$N$30))</f>
      </c>
      <c r="AI104">
        <f>IF(OR(X104="",AH104&lt;=0,AH104&gt;=1),0,(103*2-1)*(LN(AH104)+LN(1-INDEX($AH$2:$AH$126,Yeterlilik!$N$24+1-103))))</f>
      </c>
      <c r="AM104">
        <f t="shared" si="14"/>
      </c>
      <c r="AT104">
        <f t="shared" si="15"/>
      </c>
      <c r="AZ104">
        <f t="shared" si="16"/>
      </c>
      <c r="BB104">
        <f t="shared" si="17"/>
      </c>
    </row>
    <row r="105" spans="1:54" x14ac:dyDescent="0.3">
      <c r="A105">
        <f>IF(B105="","",104)</f>
      </c>
      <c r="B105">
        <f>IF(Yeterlilik!$F$12="","",Yeterlilik!$F$12)</f>
      </c>
      <c r="N105">
        <f>$AD$1+103*(($AE$1-$AD$1)/119)</f>
      </c>
      <c r="O105">
        <f>IF(Yeterlilik!$N$30=0,0,Yeterlilik!$N$24*$AF$1*NORMDIST(N105,Yeterlilik!$N$25,Yeterlilik!$N$30,FALSE))</f>
      </c>
      <c r="X105">
        <f>IF(104&gt;Yeterlilik!$N$24,"",SMALL($B$2:$B$126,104))</f>
      </c>
      <c r="Y105">
        <f>IF(X105="","",NORMSINV((104-0.375)/(Yeterlilik!$N$24+0.25)))</f>
      </c>
      <c r="AH105">
        <f>IF(X105="","",NORMSDIST((X105-Yeterlilik!$N$25)/Yeterlilik!$N$30))</f>
      </c>
      <c r="AI105">
        <f>IF(OR(X105="",AH105&lt;=0,AH105&gt;=1),0,(104*2-1)*(LN(AH105)+LN(1-INDEX($AH$2:$AH$126,Yeterlilik!$N$24+1-104))))</f>
      </c>
      <c r="AM105">
        <f t="shared" si="14"/>
      </c>
      <c r="AT105">
        <f t="shared" si="15"/>
      </c>
      <c r="AZ105">
        <f t="shared" si="16"/>
      </c>
      <c r="BB105">
        <f t="shared" si="17"/>
      </c>
    </row>
    <row r="106" spans="1:54" x14ac:dyDescent="0.3">
      <c r="A106">
        <f>IF(B106="","",105)</f>
      </c>
      <c r="B106">
        <f>IF(Yeterlilik!$F$13="","",Yeterlilik!$F$13)</f>
      </c>
      <c r="N106">
        <f>$AD$1+104*(($AE$1-$AD$1)/119)</f>
      </c>
      <c r="O106">
        <f>IF(Yeterlilik!$N$30=0,0,Yeterlilik!$N$24*$AF$1*NORMDIST(N106,Yeterlilik!$N$25,Yeterlilik!$N$30,FALSE))</f>
      </c>
      <c r="X106">
        <f>IF(105&gt;Yeterlilik!$N$24,"",SMALL($B$2:$B$126,105))</f>
      </c>
      <c r="Y106">
        <f>IF(X106="","",NORMSINV((105-0.375)/(Yeterlilik!$N$24+0.25)))</f>
      </c>
      <c r="AH106">
        <f>IF(X106="","",NORMSDIST((X106-Yeterlilik!$N$25)/Yeterlilik!$N$30))</f>
      </c>
      <c r="AI106">
        <f>IF(OR(X106="",AH106&lt;=0,AH106&gt;=1),0,(105*2-1)*(LN(AH106)+LN(1-INDEX($AH$2:$AH$126,Yeterlilik!$N$24+1-105))))</f>
      </c>
      <c r="AM106">
        <f t="shared" si="14"/>
      </c>
      <c r="AT106">
        <f t="shared" si="15"/>
      </c>
      <c r="AZ106">
        <f t="shared" si="16"/>
      </c>
      <c r="BB106">
        <f t="shared" si="17"/>
      </c>
    </row>
    <row r="107" spans="1:54" x14ac:dyDescent="0.3">
      <c r="A107">
        <f>IF(B107="","",106)</f>
      </c>
      <c r="B107">
        <f>IF(Yeterlilik!$F$14="","",Yeterlilik!$F$14)</f>
      </c>
      <c r="N107">
        <f>$AD$1+105*(($AE$1-$AD$1)/119)</f>
      </c>
      <c r="O107">
        <f>IF(Yeterlilik!$N$30=0,0,Yeterlilik!$N$24*$AF$1*NORMDIST(N107,Yeterlilik!$N$25,Yeterlilik!$N$30,FALSE))</f>
      </c>
      <c r="X107">
        <f>IF(106&gt;Yeterlilik!$N$24,"",SMALL($B$2:$B$126,106))</f>
      </c>
      <c r="Y107">
        <f>IF(X107="","",NORMSINV((106-0.375)/(Yeterlilik!$N$24+0.25)))</f>
      </c>
      <c r="AH107">
        <f>IF(X107="","",NORMSDIST((X107-Yeterlilik!$N$25)/Yeterlilik!$N$30))</f>
      </c>
      <c r="AI107">
        <f>IF(OR(X107="",AH107&lt;=0,AH107&gt;=1),0,(106*2-1)*(LN(AH107)+LN(1-INDEX($AH$2:$AH$126,Yeterlilik!$N$24+1-106))))</f>
      </c>
      <c r="AM107">
        <f t="shared" si="14"/>
      </c>
      <c r="AT107">
        <f t="shared" si="15"/>
      </c>
      <c r="AZ107">
        <f t="shared" si="16"/>
      </c>
      <c r="BB107">
        <f t="shared" si="17"/>
      </c>
    </row>
    <row r="108" spans="1:54" x14ac:dyDescent="0.3">
      <c r="A108">
        <f>IF(B108="","",107)</f>
      </c>
      <c r="B108">
        <f>IF(Yeterlilik!$F$15="","",Yeterlilik!$F$15)</f>
      </c>
      <c r="N108">
        <f>$AD$1+106*(($AE$1-$AD$1)/119)</f>
      </c>
      <c r="O108">
        <f>IF(Yeterlilik!$N$30=0,0,Yeterlilik!$N$24*$AF$1*NORMDIST(N108,Yeterlilik!$N$25,Yeterlilik!$N$30,FALSE))</f>
      </c>
      <c r="X108">
        <f>IF(107&gt;Yeterlilik!$N$24,"",SMALL($B$2:$B$126,107))</f>
      </c>
      <c r="Y108">
        <f>IF(X108="","",NORMSINV((107-0.375)/(Yeterlilik!$N$24+0.25)))</f>
      </c>
      <c r="AH108">
        <f>IF(X108="","",NORMSDIST((X108-Yeterlilik!$N$25)/Yeterlilik!$N$30))</f>
      </c>
      <c r="AI108">
        <f>IF(OR(X108="",AH108&lt;=0,AH108&gt;=1),0,(107*2-1)*(LN(AH108)+LN(1-INDEX($AH$2:$AH$126,Yeterlilik!$N$24+1-107))))</f>
      </c>
      <c r="AM108">
        <f t="shared" si="14"/>
      </c>
      <c r="AT108">
        <f t="shared" si="15"/>
      </c>
      <c r="AZ108">
        <f t="shared" si="16"/>
      </c>
      <c r="BB108">
        <f t="shared" si="17"/>
      </c>
    </row>
    <row r="109" spans="1:54" x14ac:dyDescent="0.3">
      <c r="A109">
        <f>IF(B109="","",108)</f>
      </c>
      <c r="B109">
        <f>IF(Yeterlilik!$F$16="","",Yeterlilik!$F$16)</f>
      </c>
      <c r="N109">
        <f>$AD$1+107*(($AE$1-$AD$1)/119)</f>
      </c>
      <c r="O109">
        <f>IF(Yeterlilik!$N$30=0,0,Yeterlilik!$N$24*$AF$1*NORMDIST(N109,Yeterlilik!$N$25,Yeterlilik!$N$30,FALSE))</f>
      </c>
      <c r="X109">
        <f>IF(108&gt;Yeterlilik!$N$24,"",SMALL($B$2:$B$126,108))</f>
      </c>
      <c r="Y109">
        <f>IF(X109="","",NORMSINV((108-0.375)/(Yeterlilik!$N$24+0.25)))</f>
      </c>
      <c r="AH109">
        <f>IF(X109="","",NORMSDIST((X109-Yeterlilik!$N$25)/Yeterlilik!$N$30))</f>
      </c>
      <c r="AI109">
        <f>IF(OR(X109="",AH109&lt;=0,AH109&gt;=1),0,(108*2-1)*(LN(AH109)+LN(1-INDEX($AH$2:$AH$126,Yeterlilik!$N$24+1-108))))</f>
      </c>
      <c r="AM109">
        <f t="shared" si="14"/>
      </c>
      <c r="AT109">
        <f t="shared" si="15"/>
      </c>
      <c r="AZ109">
        <f t="shared" si="16"/>
      </c>
      <c r="BB109">
        <f t="shared" si="17"/>
      </c>
    </row>
    <row r="110" spans="1:54" x14ac:dyDescent="0.3">
      <c r="A110">
        <f>IF(B110="","",109)</f>
      </c>
      <c r="B110">
        <f>IF(Yeterlilik!$F$17="","",Yeterlilik!$F$17)</f>
      </c>
      <c r="N110">
        <f>$AD$1+108*(($AE$1-$AD$1)/119)</f>
      </c>
      <c r="O110">
        <f>IF(Yeterlilik!$N$30=0,0,Yeterlilik!$N$24*$AF$1*NORMDIST(N110,Yeterlilik!$N$25,Yeterlilik!$N$30,FALSE))</f>
      </c>
      <c r="X110">
        <f>IF(109&gt;Yeterlilik!$N$24,"",SMALL($B$2:$B$126,109))</f>
      </c>
      <c r="Y110">
        <f>IF(X110="","",NORMSINV((109-0.375)/(Yeterlilik!$N$24+0.25)))</f>
      </c>
      <c r="AH110">
        <f>IF(X110="","",NORMSDIST((X110-Yeterlilik!$N$25)/Yeterlilik!$N$30))</f>
      </c>
      <c r="AI110">
        <f>IF(OR(X110="",AH110&lt;=0,AH110&gt;=1),0,(109*2-1)*(LN(AH110)+LN(1-INDEX($AH$2:$AH$126,Yeterlilik!$N$24+1-109))))</f>
      </c>
      <c r="AM110">
        <f t="shared" si="14"/>
      </c>
      <c r="AT110">
        <f t="shared" si="15"/>
      </c>
      <c r="AZ110">
        <f t="shared" si="16"/>
      </c>
      <c r="BB110">
        <f t="shared" si="17"/>
      </c>
    </row>
    <row r="111" spans="1:54" x14ac:dyDescent="0.3">
      <c r="A111">
        <f>IF(B111="","",110)</f>
      </c>
      <c r="B111">
        <f>IF(Yeterlilik!$F$18="","",Yeterlilik!$F$18)</f>
      </c>
      <c r="N111">
        <f>$AD$1+109*(($AE$1-$AD$1)/119)</f>
      </c>
      <c r="O111">
        <f>IF(Yeterlilik!$N$30=0,0,Yeterlilik!$N$24*$AF$1*NORMDIST(N111,Yeterlilik!$N$25,Yeterlilik!$N$30,FALSE))</f>
      </c>
      <c r="X111">
        <f>IF(110&gt;Yeterlilik!$N$24,"",SMALL($B$2:$B$126,110))</f>
      </c>
      <c r="Y111">
        <f>IF(X111="","",NORMSINV((110-0.375)/(Yeterlilik!$N$24+0.25)))</f>
      </c>
      <c r="AH111">
        <f>IF(X111="","",NORMSDIST((X111-Yeterlilik!$N$25)/Yeterlilik!$N$30))</f>
      </c>
      <c r="AI111">
        <f>IF(OR(X111="",AH111&lt;=0,AH111&gt;=1),0,(110*2-1)*(LN(AH111)+LN(1-INDEX($AH$2:$AH$126,Yeterlilik!$N$24+1-110))))</f>
      </c>
      <c r="AM111">
        <f t="shared" si="14"/>
      </c>
      <c r="AT111">
        <f t="shared" si="15"/>
      </c>
      <c r="AZ111">
        <f t="shared" si="16"/>
      </c>
      <c r="BB111">
        <f t="shared" si="17"/>
      </c>
    </row>
    <row r="112" spans="1:54" x14ac:dyDescent="0.3">
      <c r="A112">
        <f>IF(B112="","",111)</f>
      </c>
      <c r="B112">
        <f>IF(Yeterlilik!$F$19="","",Yeterlilik!$F$19)</f>
      </c>
      <c r="N112">
        <f>$AD$1+110*(($AE$1-$AD$1)/119)</f>
      </c>
      <c r="O112">
        <f>IF(Yeterlilik!$N$30=0,0,Yeterlilik!$N$24*$AF$1*NORMDIST(N112,Yeterlilik!$N$25,Yeterlilik!$N$30,FALSE))</f>
      </c>
      <c r="X112">
        <f>IF(111&gt;Yeterlilik!$N$24,"",SMALL($B$2:$B$126,111))</f>
      </c>
      <c r="Y112">
        <f>IF(X112="","",NORMSINV((111-0.375)/(Yeterlilik!$N$24+0.25)))</f>
      </c>
      <c r="AH112">
        <f>IF(X112="","",NORMSDIST((X112-Yeterlilik!$N$25)/Yeterlilik!$N$30))</f>
      </c>
      <c r="AI112">
        <f>IF(OR(X112="",AH112&lt;=0,AH112&gt;=1),0,(111*2-1)*(LN(AH112)+LN(1-INDEX($AH$2:$AH$126,Yeterlilik!$N$24+1-111))))</f>
      </c>
      <c r="AM112">
        <f t="shared" si="14"/>
      </c>
      <c r="AT112">
        <f t="shared" si="15"/>
      </c>
      <c r="AZ112">
        <f t="shared" si="16"/>
      </c>
      <c r="BB112">
        <f t="shared" si="17"/>
      </c>
    </row>
    <row r="113" spans="1:54" x14ac:dyDescent="0.3">
      <c r="A113">
        <f>IF(B113="","",112)</f>
      </c>
      <c r="B113">
        <f>IF(Yeterlilik!$F$20="","",Yeterlilik!$F$20)</f>
      </c>
      <c r="N113">
        <f>$AD$1+111*(($AE$1-$AD$1)/119)</f>
      </c>
      <c r="O113">
        <f>IF(Yeterlilik!$N$30=0,0,Yeterlilik!$N$24*$AF$1*NORMDIST(N113,Yeterlilik!$N$25,Yeterlilik!$N$30,FALSE))</f>
      </c>
      <c r="X113">
        <f>IF(112&gt;Yeterlilik!$N$24,"",SMALL($B$2:$B$126,112))</f>
      </c>
      <c r="Y113">
        <f>IF(X113="","",NORMSINV((112-0.375)/(Yeterlilik!$N$24+0.25)))</f>
      </c>
      <c r="AH113">
        <f>IF(X113="","",NORMSDIST((X113-Yeterlilik!$N$25)/Yeterlilik!$N$30))</f>
      </c>
      <c r="AI113">
        <f>IF(OR(X113="",AH113&lt;=0,AH113&gt;=1),0,(112*2-1)*(LN(AH113)+LN(1-INDEX($AH$2:$AH$126,Yeterlilik!$N$24+1-112))))</f>
      </c>
      <c r="AM113">
        <f t="shared" si="14"/>
      </c>
      <c r="AT113">
        <f t="shared" si="15"/>
      </c>
      <c r="AZ113">
        <f t="shared" si="16"/>
      </c>
      <c r="BB113">
        <f t="shared" si="17"/>
      </c>
    </row>
    <row r="114" spans="1:54" x14ac:dyDescent="0.3">
      <c r="A114">
        <f>IF(B114="","",113)</f>
      </c>
      <c r="B114">
        <f>IF(Yeterlilik!$F$21="","",Yeterlilik!$F$21)</f>
      </c>
      <c r="N114">
        <f>$AD$1+112*(($AE$1-$AD$1)/119)</f>
      </c>
      <c r="O114">
        <f>IF(Yeterlilik!$N$30=0,0,Yeterlilik!$N$24*$AF$1*NORMDIST(N114,Yeterlilik!$N$25,Yeterlilik!$N$30,FALSE))</f>
      </c>
      <c r="X114">
        <f>IF(113&gt;Yeterlilik!$N$24,"",SMALL($B$2:$B$126,113))</f>
      </c>
      <c r="Y114">
        <f>IF(X114="","",NORMSINV((113-0.375)/(Yeterlilik!$N$24+0.25)))</f>
      </c>
      <c r="AH114">
        <f>IF(X114="","",NORMSDIST((X114-Yeterlilik!$N$25)/Yeterlilik!$N$30))</f>
      </c>
      <c r="AI114">
        <f>IF(OR(X114="",AH114&lt;=0,AH114&gt;=1),0,(113*2-1)*(LN(AH114)+LN(1-INDEX($AH$2:$AH$126,Yeterlilik!$N$24+1-113))))</f>
      </c>
      <c r="AM114">
        <f t="shared" si="14"/>
      </c>
      <c r="AT114">
        <f t="shared" si="15"/>
      </c>
      <c r="AZ114">
        <f t="shared" si="16"/>
      </c>
      <c r="BB114">
        <f t="shared" si="17"/>
      </c>
    </row>
    <row r="115" spans="1:54" x14ac:dyDescent="0.3">
      <c r="A115">
        <f>IF(B115="","",114)</f>
      </c>
      <c r="B115">
        <f>IF(Yeterlilik!$F$22="","",Yeterlilik!$F$22)</f>
      </c>
      <c r="N115">
        <f>$AD$1+113*(($AE$1-$AD$1)/119)</f>
      </c>
      <c r="O115">
        <f>IF(Yeterlilik!$N$30=0,0,Yeterlilik!$N$24*$AF$1*NORMDIST(N115,Yeterlilik!$N$25,Yeterlilik!$N$30,FALSE))</f>
      </c>
      <c r="X115">
        <f>IF(114&gt;Yeterlilik!$N$24,"",SMALL($B$2:$B$126,114))</f>
      </c>
      <c r="Y115">
        <f>IF(X115="","",NORMSINV((114-0.375)/(Yeterlilik!$N$24+0.25)))</f>
      </c>
      <c r="AH115">
        <f>IF(X115="","",NORMSDIST((X115-Yeterlilik!$N$25)/Yeterlilik!$N$30))</f>
      </c>
      <c r="AI115">
        <f>IF(OR(X115="",AH115&lt;=0,AH115&gt;=1),0,(114*2-1)*(LN(AH115)+LN(1-INDEX($AH$2:$AH$126,Yeterlilik!$N$24+1-114))))</f>
      </c>
      <c r="AM115">
        <f t="shared" si="14"/>
      </c>
      <c r="AT115">
        <f t="shared" si="15"/>
      </c>
      <c r="AZ115">
        <f t="shared" si="16"/>
      </c>
      <c r="BB115">
        <f t="shared" si="17"/>
      </c>
    </row>
    <row r="116" spans="1:54" x14ac:dyDescent="0.3">
      <c r="A116">
        <f>IF(B116="","",115)</f>
      </c>
      <c r="B116">
        <f>IF(Yeterlilik!$F$23="","",Yeterlilik!$F$23)</f>
      </c>
      <c r="N116">
        <f>$AD$1+114*(($AE$1-$AD$1)/119)</f>
      </c>
      <c r="O116">
        <f>IF(Yeterlilik!$N$30=0,0,Yeterlilik!$N$24*$AF$1*NORMDIST(N116,Yeterlilik!$N$25,Yeterlilik!$N$30,FALSE))</f>
      </c>
      <c r="X116">
        <f>IF(115&gt;Yeterlilik!$N$24,"",SMALL($B$2:$B$126,115))</f>
      </c>
      <c r="Y116">
        <f>IF(X116="","",NORMSINV((115-0.375)/(Yeterlilik!$N$24+0.25)))</f>
      </c>
      <c r="AH116">
        <f>IF(X116="","",NORMSDIST((X116-Yeterlilik!$N$25)/Yeterlilik!$N$30))</f>
      </c>
      <c r="AI116">
        <f>IF(OR(X116="",AH116&lt;=0,AH116&gt;=1),0,(115*2-1)*(LN(AH116)+LN(1-INDEX($AH$2:$AH$126,Yeterlilik!$N$24+1-115))))</f>
      </c>
      <c r="AM116">
        <f t="shared" si="14"/>
      </c>
      <c r="AT116">
        <f t="shared" si="15"/>
      </c>
      <c r="AZ116">
        <f t="shared" si="16"/>
      </c>
      <c r="BB116">
        <f t="shared" si="17"/>
      </c>
    </row>
    <row r="117" spans="1:54" x14ac:dyDescent="0.3">
      <c r="A117">
        <f>IF(B117="","",116)</f>
      </c>
      <c r="B117">
        <f>IF(Yeterlilik!$F$24="","",Yeterlilik!$F$24)</f>
      </c>
      <c r="N117">
        <f>$AD$1+115*(($AE$1-$AD$1)/119)</f>
      </c>
      <c r="O117">
        <f>IF(Yeterlilik!$N$30=0,0,Yeterlilik!$N$24*$AF$1*NORMDIST(N117,Yeterlilik!$N$25,Yeterlilik!$N$30,FALSE))</f>
      </c>
      <c r="X117">
        <f>IF(116&gt;Yeterlilik!$N$24,"",SMALL($B$2:$B$126,116))</f>
      </c>
      <c r="Y117">
        <f>IF(X117="","",NORMSINV((116-0.375)/(Yeterlilik!$N$24+0.25)))</f>
      </c>
      <c r="AH117">
        <f>IF(X117="","",NORMSDIST((X117-Yeterlilik!$N$25)/Yeterlilik!$N$30))</f>
      </c>
      <c r="AI117">
        <f>IF(OR(X117="",AH117&lt;=0,AH117&gt;=1),0,(116*2-1)*(LN(AH117)+LN(1-INDEX($AH$2:$AH$126,Yeterlilik!$N$24+1-116))))</f>
      </c>
      <c r="AM117">
        <f t="shared" si="14"/>
      </c>
      <c r="AT117">
        <f t="shared" si="15"/>
      </c>
      <c r="AZ117">
        <f t="shared" si="16"/>
      </c>
      <c r="BB117">
        <f t="shared" si="17"/>
      </c>
    </row>
    <row r="118" spans="1:54" x14ac:dyDescent="0.3">
      <c r="A118">
        <f>IF(B118="","",117)</f>
      </c>
      <c r="B118">
        <f>IF(Yeterlilik!$F$25="","",Yeterlilik!$F$25)</f>
      </c>
      <c r="N118">
        <f>$AD$1+116*(($AE$1-$AD$1)/119)</f>
      </c>
      <c r="O118">
        <f>IF(Yeterlilik!$N$30=0,0,Yeterlilik!$N$24*$AF$1*NORMDIST(N118,Yeterlilik!$N$25,Yeterlilik!$N$30,FALSE))</f>
      </c>
      <c r="X118">
        <f>IF(117&gt;Yeterlilik!$N$24,"",SMALL($B$2:$B$126,117))</f>
      </c>
      <c r="Y118">
        <f>IF(X118="","",NORMSINV((117-0.375)/(Yeterlilik!$N$24+0.25)))</f>
      </c>
      <c r="AH118">
        <f>IF(X118="","",NORMSDIST((X118-Yeterlilik!$N$25)/Yeterlilik!$N$30))</f>
      </c>
      <c r="AI118">
        <f>IF(OR(X118="",AH118&lt;=0,AH118&gt;=1),0,(117*2-1)*(LN(AH118)+LN(1-INDEX($AH$2:$AH$126,Yeterlilik!$N$24+1-117))))</f>
      </c>
      <c r="AM118">
        <f t="shared" si="14"/>
      </c>
      <c r="AT118">
        <f t="shared" si="15"/>
      </c>
      <c r="AZ118">
        <f t="shared" si="16"/>
      </c>
      <c r="BB118">
        <f t="shared" si="17"/>
      </c>
    </row>
    <row r="119" spans="1:54" x14ac:dyDescent="0.3">
      <c r="A119">
        <f>IF(B119="","",118)</f>
      </c>
      <c r="B119">
        <f>IF(Yeterlilik!$F$26="","",Yeterlilik!$F$26)</f>
      </c>
      <c r="N119">
        <f>$AD$1+117*(($AE$1-$AD$1)/119)</f>
      </c>
      <c r="O119">
        <f>IF(Yeterlilik!$N$30=0,0,Yeterlilik!$N$24*$AF$1*NORMDIST(N119,Yeterlilik!$N$25,Yeterlilik!$N$30,FALSE))</f>
      </c>
      <c r="X119">
        <f>IF(118&gt;Yeterlilik!$N$24,"",SMALL($B$2:$B$126,118))</f>
      </c>
      <c r="Y119">
        <f>IF(X119="","",NORMSINV((118-0.375)/(Yeterlilik!$N$24+0.25)))</f>
      </c>
      <c r="AH119">
        <f>IF(X119="","",NORMSDIST((X119-Yeterlilik!$N$25)/Yeterlilik!$N$30))</f>
      </c>
      <c r="AI119">
        <f>IF(OR(X119="",AH119&lt;=0,AH119&gt;=1),0,(118*2-1)*(LN(AH119)+LN(1-INDEX($AH$2:$AH$126,Yeterlilik!$N$24+1-118))))</f>
      </c>
      <c r="AM119">
        <f t="shared" si="14"/>
      </c>
      <c r="AT119">
        <f t="shared" si="15"/>
      </c>
      <c r="AZ119">
        <f t="shared" si="16"/>
      </c>
      <c r="BB119">
        <f t="shared" si="17"/>
      </c>
    </row>
    <row r="120" spans="1:54" x14ac:dyDescent="0.3">
      <c r="A120">
        <f>IF(B120="","",119)</f>
      </c>
      <c r="B120">
        <f>IF(Yeterlilik!$F$27="","",Yeterlilik!$F$27)</f>
      </c>
      <c r="N120">
        <f>$AD$1+118*(($AE$1-$AD$1)/119)</f>
      </c>
      <c r="O120">
        <f>IF(Yeterlilik!$N$30=0,0,Yeterlilik!$N$24*$AF$1*NORMDIST(N120,Yeterlilik!$N$25,Yeterlilik!$N$30,FALSE))</f>
      </c>
      <c r="X120">
        <f>IF(119&gt;Yeterlilik!$N$24,"",SMALL($B$2:$B$126,119))</f>
      </c>
      <c r="Y120">
        <f>IF(X120="","",NORMSINV((119-0.375)/(Yeterlilik!$N$24+0.25)))</f>
      </c>
      <c r="AH120">
        <f>IF(X120="","",NORMSDIST((X120-Yeterlilik!$N$25)/Yeterlilik!$N$30))</f>
      </c>
      <c r="AI120">
        <f>IF(OR(X120="",AH120&lt;=0,AH120&gt;=1),0,(119*2-1)*(LN(AH120)+LN(1-INDEX($AH$2:$AH$126,Yeterlilik!$N$24+1-119))))</f>
      </c>
      <c r="AM120">
        <f t="shared" si="14"/>
      </c>
      <c r="AT120">
        <f t="shared" si="15"/>
      </c>
      <c r="AZ120">
        <f t="shared" si="16"/>
      </c>
      <c r="BB120">
        <f t="shared" si="17"/>
      </c>
    </row>
    <row r="121" spans="1:54" x14ac:dyDescent="0.3">
      <c r="A121">
        <f>IF(B121="","",120)</f>
      </c>
      <c r="B121">
        <f>IF(Yeterlilik!$F$28="","",Yeterlilik!$F$28)</f>
      </c>
      <c r="N121">
        <f>$AD$1+119*(($AE$1-$AD$1)/119)</f>
      </c>
      <c r="O121">
        <f>IF(Yeterlilik!$N$30=0,0,Yeterlilik!$N$24*$AF$1*NORMDIST(N121,Yeterlilik!$N$25,Yeterlilik!$N$30,FALSE))</f>
      </c>
      <c r="X121">
        <f>IF(120&gt;Yeterlilik!$N$24,"",SMALL($B$2:$B$126,120))</f>
      </c>
      <c r="Y121">
        <f>IF(X121="","",NORMSINV((120-0.375)/(Yeterlilik!$N$24+0.25)))</f>
      </c>
      <c r="AH121">
        <f>IF(X121="","",NORMSDIST((X121-Yeterlilik!$N$25)/Yeterlilik!$N$30))</f>
      </c>
      <c r="AI121">
        <f>IF(OR(X121="",AH121&lt;=0,AH121&gt;=1),0,(120*2-1)*(LN(AH121)+LN(1-INDEX($AH$2:$AH$126,Yeterlilik!$N$24+1-120))))</f>
      </c>
      <c r="AM121">
        <f t="shared" si="14"/>
      </c>
      <c r="AT121">
        <f t="shared" si="15"/>
      </c>
      <c r="AZ121">
        <f t="shared" si="16"/>
      </c>
      <c r="BB121">
        <f t="shared" si="17"/>
      </c>
    </row>
    <row r="122" spans="1:54" x14ac:dyDescent="0.3">
      <c r="A122">
        <f>IF(B122="","",121)</f>
      </c>
      <c r="B122">
        <f>IF(Yeterlilik!$F$29="","",Yeterlilik!$F$29)</f>
      </c>
      <c r="X122">
        <f>IF(121&gt;Yeterlilik!$N$24,"",SMALL($B$2:$B$126,121))</f>
      </c>
      <c r="Y122">
        <f>IF(X122="","",NORMSINV((121-0.375)/(Yeterlilik!$N$24+0.25)))</f>
      </c>
      <c r="AH122">
        <f>IF(X122="","",NORMSDIST((X122-Yeterlilik!$N$25)/Yeterlilik!$N$30))</f>
      </c>
      <c r="AI122">
        <f>IF(OR(X122="",AH122&lt;=0,AH122&gt;=1),0,(121*2-1)*(LN(AH122)+LN(1-INDEX($AH$2:$AH$126,Yeterlilik!$N$24+1-121))))</f>
      </c>
      <c r="AM122">
        <f t="shared" si="14"/>
      </c>
      <c r="AZ122">
        <f t="shared" si="16"/>
      </c>
      <c r="BB122">
        <f t="shared" si="17"/>
      </c>
    </row>
    <row r="123" spans="1:54" x14ac:dyDescent="0.3">
      <c r="A123">
        <f>IF(B123="","",122)</f>
      </c>
      <c r="B123">
        <f>IF(Yeterlilik!$F$30="","",Yeterlilik!$F$30)</f>
      </c>
      <c r="X123">
        <f>IF(122&gt;Yeterlilik!$N$24,"",SMALL($B$2:$B$126,122))</f>
      </c>
      <c r="Y123">
        <f>IF(X123="","",NORMSINV((122-0.375)/(Yeterlilik!$N$24+0.25)))</f>
      </c>
      <c r="AH123">
        <f>IF(X123="","",NORMSDIST((X123-Yeterlilik!$N$25)/Yeterlilik!$N$30))</f>
      </c>
      <c r="AI123">
        <f>IF(OR(X123="",AH123&lt;=0,AH123&gt;=1),0,(122*2-1)*(LN(AH123)+LN(1-INDEX($AH$2:$AH$126,Yeterlilik!$N$24+1-122))))</f>
      </c>
      <c r="AM123">
        <f t="shared" si="14"/>
      </c>
      <c r="AZ123">
        <f t="shared" si="16"/>
      </c>
      <c r="BB123">
        <f t="shared" si="17"/>
      </c>
    </row>
    <row r="124" spans="1:54" x14ac:dyDescent="0.3">
      <c r="A124">
        <f>IF(B124="","",123)</f>
      </c>
      <c r="B124">
        <f>IF(Yeterlilik!$F$31="","",Yeterlilik!$F$31)</f>
      </c>
      <c r="X124">
        <f>IF(123&gt;Yeterlilik!$N$24,"",SMALL($B$2:$B$126,123))</f>
      </c>
      <c r="Y124">
        <f>IF(X124="","",NORMSINV((123-0.375)/(Yeterlilik!$N$24+0.25)))</f>
      </c>
      <c r="AH124">
        <f>IF(X124="","",NORMSDIST((X124-Yeterlilik!$N$25)/Yeterlilik!$N$30))</f>
      </c>
      <c r="AI124">
        <f>IF(OR(X124="",AH124&lt;=0,AH124&gt;=1),0,(123*2-1)*(LN(AH124)+LN(1-INDEX($AH$2:$AH$126,Yeterlilik!$N$24+1-123))))</f>
      </c>
      <c r="AM124">
        <f t="shared" si="14"/>
      </c>
      <c r="AZ124">
        <f t="shared" si="16"/>
      </c>
      <c r="BB124">
        <f t="shared" si="17"/>
      </c>
    </row>
    <row r="125" spans="1:54" x14ac:dyDescent="0.3">
      <c r="A125">
        <f>IF(B125="","",124)</f>
      </c>
      <c r="B125">
        <f>IF(Yeterlilik!$F$32="","",Yeterlilik!$F$32)</f>
      </c>
      <c r="X125">
        <f>IF(124&gt;Yeterlilik!$N$24,"",SMALL($B$2:$B$126,124))</f>
      </c>
      <c r="Y125">
        <f>IF(X125="","",NORMSINV((124-0.375)/(Yeterlilik!$N$24+0.25)))</f>
      </c>
      <c r="AH125">
        <f>IF(X125="","",NORMSDIST((X125-Yeterlilik!$N$25)/Yeterlilik!$N$30))</f>
      </c>
      <c r="AI125">
        <f>IF(OR(X125="",AH125&lt;=0,AH125&gt;=1),0,(124*2-1)*(LN(AH125)+LN(1-INDEX($AH$2:$AH$126,Yeterlilik!$N$24+1-124))))</f>
      </c>
      <c r="AM125">
        <f t="shared" si="14"/>
      </c>
      <c r="AZ125">
        <f t="shared" si="16"/>
      </c>
      <c r="BB125">
        <f t="shared" si="17"/>
      </c>
    </row>
    <row r="126" spans="1:54" x14ac:dyDescent="0.3">
      <c r="A126">
        <f>IF(B126="","",125)</f>
      </c>
      <c r="B126">
        <f>IF(Yeterlilik!$F$33="","",Yeterlilik!$F$33)</f>
      </c>
      <c r="X126">
        <f>IF(125&gt;Yeterlilik!$N$24,"",SMALL($B$2:$B$126,125))</f>
      </c>
      <c r="Y126">
        <f>IF(X126="","",NORMSINV((125-0.375)/(Yeterlilik!$N$24+0.25)))</f>
      </c>
      <c r="AH126">
        <f>IF(X126="","",NORMSDIST((X126-Yeterlilik!$N$25)/Yeterlilik!$N$30))</f>
      </c>
      <c r="AI126">
        <f>IF(OR(X126="",AH126&lt;=0,AH126&gt;=1),0,(125*2-1)*(LN(AH126)+LN(1-INDEX($AH$2:$AH$126,Yeterlilik!$N$24+1-125))))</f>
      </c>
      <c r="AM126">
        <f t="shared" si="14"/>
      </c>
      <c r="AZ126">
        <f t="shared" si="16"/>
      </c>
      <c r="BB126">
        <f t="shared" si="17"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Yeterlilik</vt:lpstr>
      <vt:lpstr>veri</vt:lpstr>
      <vt:lpstr>Yeterlilik!Yazdırma_Alanı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</dc:creator>
  <cp:lastModifiedBy>ERP</cp:lastModifiedBy>
  <dcterms:created xsi:type="dcterms:W3CDTF">2026-08-25T11:05:03Z</dcterms:created>
  <dcterms:modified xsi:type="dcterms:W3CDTF">2026-10-10T17:07:00Z</dcterms:modified>
</cp:coreProperties>
</file>