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terlilik" sheetId="1" state="visible" r:id="rId1"/>
    <sheet xmlns:r="http://schemas.openxmlformats.org/officeDocument/2006/relationships" name="veri" sheetId="2" state="hidden" r:id="rId2"/>
  </sheets>
  <definedNames>
    <definedName name="_xlnm.Print_Area" localSheetId="0">'Yeterlilik'!$A$1:$BM$60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dd.mm.yyyy"/>
    <numFmt numFmtId="166" formatCode="#,##0.##"/>
    <numFmt numFmtId="167" formatCode="0.000000"/>
    <numFmt numFmtId="168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color rgb="00000000"/>
      <sz val="9"/>
    </font>
    <font>
      <name val="Calibri"/>
      <b val="1"/>
      <color rgb="00000000"/>
      <sz val="8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808080"/>
      <sz val="8"/>
    </font>
    <font>
      <name val="Calibri"/>
      <color rgb="00C00000"/>
      <sz val="8"/>
    </font>
    <font>
      <name val="Calibri"/>
      <b val="1"/>
      <color rgb="00C00000"/>
      <sz val="8"/>
    </font>
    <font>
      <name val="Calibri"/>
      <b val="1"/>
      <sz val="10"/>
    </font>
    <font>
      <name val="Calibri"/>
      <i val="1"/>
      <color rgb="004F5B7A"/>
      <sz val="8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i val="1"/>
      <color rgb="006B7280"/>
      <sz val="7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EF1F8"/>
      </patternFill>
    </fill>
  </fills>
  <borders count="3">
    <border>
      <left/>
      <right/>
      <top/>
      <bottom/>
      <diagonal/>
    </border>
    <border>
      <left style="thin">
        <color rgb="007F9DB9"/>
      </left>
      <right style="thin">
        <color rgb="007F9DB9"/>
      </right>
      <top style="thin">
        <color rgb="007F9DB9"/>
      </top>
      <bottom style="thin">
        <color rgb="007F9DB9"/>
      </bottom>
    </border>
    <border>
      <top style="medium">
        <color rgb="001F3864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right" vertical="center"/>
    </xf>
    <xf numFmtId="2" fontId="1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Kontrol kartı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kart değeri</v>
          </tx>
          <spPr>
            <a:ln xmlns:a="http://schemas.openxmlformats.org/drawingml/2006/main" w="9525">
              <a:solidFill>
                <a:srgbClr val="1F386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xVal>
            <numRef>
              <f>'veri'!$A$2:$A$51</f>
            </numRef>
          </xVal>
          <yVal>
            <numRef>
              <f>'veri'!$D$2:$D$51</f>
            </numRef>
          </yVal>
          <smooth val="0"/>
        </ser>
        <ser>
          <idx val="1"/>
          <order val="1"/>
          <tx>
            <v>UCL</v>
          </tx>
          <spPr>
            <a:ln xmlns:a="http://schemas.openxmlformats.org/drawingml/2006/main" w="15875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'veri'!$A$2:$A$51</f>
            </numRef>
          </xVal>
          <yVal>
            <numRef>
              <f>'veri'!$G$2:$G$51</f>
            </numRef>
          </yVal>
          <smooth val="0"/>
        </ser>
        <ser>
          <idx val="2"/>
          <order val="2"/>
          <tx>
            <v>CL</v>
          </tx>
          <spPr>
            <a:ln xmlns:a="http://schemas.openxmlformats.org/drawingml/2006/main" w="12700">
              <a:solidFill>
                <a:srgbClr val="00A6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'veri'!$A$2:$A$51</f>
            </numRef>
          </xVal>
          <yVal>
            <numRef>
              <f>'veri'!$E$2:$E$51</f>
            </numRef>
          </yVal>
          <smooth val="0"/>
        </ser>
        <ser>
          <idx val="3"/>
          <order val="3"/>
          <tx>
            <v>LCL</v>
          </tx>
          <spPr>
            <a:ln xmlns:a="http://schemas.openxmlformats.org/drawingml/2006/main" w="15875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'veri'!$A$2:$A$51</f>
            </numRef>
          </xVal>
          <yVal>
            <numRef>
              <f>'veri'!$H$2:$H$51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 grup</a:t>
                </a:r>
              </a:p>
            </rich>
          </tx>
          <overlay val="0"/>
        </title>
        <numFmt formatCode="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kart değeri (% / adet / DPU)</a:t>
                </a:r>
              </a:p>
            </rich>
          </tx>
          <overlay val="0"/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Kümülatif oran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kümülatif</v>
          </tx>
          <spPr>
            <a:ln xmlns:a="http://schemas.openxmlformats.org/drawingml/2006/main" w="19050">
              <a:solidFill>
                <a:srgbClr val="764BA2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64BA2"/>
              </a:solidFill>
              <a:ln xmlns:a="http://schemas.openxmlformats.org/drawingml/2006/main">
                <a:solidFill>
                  <a:srgbClr val="764BA2"/>
                </a:solidFill>
                <a:prstDash val="solid"/>
              </a:ln>
            </spPr>
          </marker>
          <xVal>
            <numRef>
              <f>'veri'!$A$2:$A$51</f>
            </numRef>
          </xVal>
          <yVal>
            <numRef>
              <f>'veri'!$I$2:$I$51</f>
            </numRef>
          </yVal>
          <smooth val="0"/>
        </ser>
        <ser>
          <idx val="1"/>
          <order val="1"/>
          <tx>
            <v>nihai</v>
          </tx>
          <spPr>
            <a:ln xmlns:a="http://schemas.openxmlformats.org/drawingml/2006/main" w="12700">
              <a:solidFill>
                <a:srgbClr val="00A6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'veri'!$A$2:$A$51</f>
            </numRef>
          </xVal>
          <yVal>
            <numRef>
              <f>'veri'!$J$2:$J$51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 grup</a:t>
                </a:r>
              </a:p>
            </rich>
          </tx>
          <overlay val="0"/>
        </title>
        <numFmt formatCode="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kusurlu / DPU</a:t>
                </a:r>
              </a:p>
            </rich>
          </tx>
          <overlay val="0"/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Oran — örnek boyutuna göre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alt grup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5A6E96"/>
              </a:solidFill>
              <a:ln xmlns:a="http://schemas.openxmlformats.org/drawingml/2006/main">
                <a:solidFill>
                  <a:srgbClr val="5A6E96"/>
                </a:solidFill>
                <a:prstDash val="solid"/>
              </a:ln>
            </spPr>
          </marker>
          <xVal>
            <numRef>
              <f>'veri'!$B$2:$B$51</f>
            </numRef>
          </xVal>
          <yVal>
            <numRef>
              <f>'veri'!$K$2:$K$51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örnek boyutu (n)</a:t>
                </a:r>
              </a:p>
            </rich>
          </tx>
          <overlay val="0"/>
        </title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kusurlu / DPU</a:t>
                </a:r>
              </a:p>
            </rich>
          </tx>
          <overlay val="0"/>
        </title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 (alt grup oranları)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'veri'!N1</f>
            </strRef>
          </tx>
          <spPr>
            <a:solidFill xmlns:a="http://schemas.openxmlformats.org/drawingml/2006/main">
              <a:srgbClr val="8EA9DB"/>
            </a:solidFill>
            <a:ln xmlns:a="http://schemas.openxmlformats.org/drawingml/2006/main" w="9525">
              <a:solidFill>
                <a:srgbClr val="4472C4"/>
              </a:solidFill>
              <a:prstDash val="solid"/>
            </a:ln>
          </spPr>
          <cat>
            <numRef>
              <f>'veri'!$M$2:$M$11</f>
            </numRef>
          </cat>
          <val>
            <numRef>
              <f>'veri'!$N$2:$N$11</f>
            </numRef>
          </val>
        </ser>
        <gapWidth val="15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kusurlu / DPU (kutu ortası)</a:t>
                </a:r>
              </a:p>
            </rich>
          </tx>
          <overlay val="0"/>
        </title>
        <numFmt formatCode="0.0000" sourceLinked="0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 grup sayısı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oneCellAnchor>
    <from>
      <col>19</col>
      <colOff>0</colOff>
      <row>6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25</row>
      <rowOff>0</rowOff>
    </from>
    <ext cx="4824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43</col>
      <colOff>0</colOff>
      <row>25</row>
      <rowOff>0</rowOff>
    </from>
    <ext cx="4392000" cy="345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0</colOff>
      <row>45</row>
      <rowOff>0</rowOff>
    </from>
    <ext cx="93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</row>
      <rowOff>0</rowOff>
    </from>
    <ext cx="1743075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S5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.2" customWidth="1" min="1" max="1"/>
    <col width="7" customWidth="1" min="2" max="2"/>
    <col width="6.2" customWidth="1" min="3" max="3"/>
    <col width="7.6" customWidth="1" min="4" max="4"/>
    <col width="7.6" customWidth="1" min="5" max="5"/>
    <col width="7.6" customWidth="1" min="6" max="6"/>
    <col width="7.6" customWidth="1" min="7" max="7"/>
    <col width="6" customWidth="1" min="8" max="8"/>
    <col width="1.6" customWidth="1" min="9" max="9"/>
    <col width="8" customWidth="1" min="10" max="10"/>
    <col width="8" customWidth="1" min="11" max="11"/>
    <col width="8" customWidth="1" min="12" max="12"/>
    <col width="8" customWidth="1" min="13" max="13"/>
    <col width="7.4" customWidth="1" min="14" max="14"/>
    <col width="7.4" customWidth="1" min="15" max="15"/>
    <col width="7.4" customWidth="1" min="16" max="16"/>
    <col width="7.4" customWidth="1" min="17" max="17"/>
    <col width="7.4" customWidth="1" min="18" max="18"/>
    <col width="1.6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</cols>
  <sheetData>
    <row r="1" ht="14" customHeight="1">
      <c r="J1" s="1" t="inlineStr">
        <is>
          <t>PROSES VE MAKİNE YETERLİLİĞİ  ·  NİTEL</t>
        </is>
      </c>
      <c r="AK1" s="2" t="inlineStr">
        <is>
          <t>Dok. No</t>
        </is>
      </c>
      <c r="AL1" s="3" t="n"/>
      <c r="AM1" s="3" t="n"/>
      <c r="AN1" s="4" t="inlineStr">
        <is>
          <t>FR24</t>
        </is>
      </c>
      <c r="AO1" s="5" t="n"/>
      <c r="AP1" s="5" t="n"/>
      <c r="AQ1" s="5" t="n"/>
      <c r="AR1" s="5" t="n"/>
      <c r="AS1" s="5" t="n"/>
    </row>
    <row r="2" ht="17" customHeight="1">
      <c r="AK2" s="2" t="inlineStr">
        <is>
          <t>Y. Tarihi</t>
        </is>
      </c>
      <c r="AL2" s="3" t="n"/>
      <c r="AM2" s="3" t="n"/>
      <c r="AN2" s="4" t="inlineStr">
        <is>
          <t>02.01.2023</t>
        </is>
      </c>
      <c r="AO2" s="5" t="n"/>
      <c r="AP2" s="5" t="n"/>
      <c r="AQ2" s="5" t="n"/>
      <c r="AR2" s="5" t="n"/>
      <c r="AS2" s="5" t="n"/>
    </row>
    <row r="3" ht="17" customHeight="1">
      <c r="AK3" s="2" t="inlineStr">
        <is>
          <t>Rev. No</t>
        </is>
      </c>
      <c r="AL3" s="3" t="n"/>
      <c r="AM3" s="3" t="n"/>
      <c r="AN3" s="4" t="inlineStr">
        <is>
          <t>01 / 25.08.2026</t>
        </is>
      </c>
      <c r="AO3" s="5" t="n"/>
      <c r="AP3" s="5" t="n"/>
      <c r="AQ3" s="5" t="n"/>
      <c r="AR3" s="5" t="n"/>
      <c r="AS3" s="5" t="n"/>
    </row>
    <row r="4" ht="17" customHeight="1">
      <c r="AK4" s="2" t="inlineStr">
        <is>
          <t>Sayfa</t>
        </is>
      </c>
      <c r="AL4" s="3" t="n"/>
      <c r="AM4" s="3" t="n"/>
      <c r="AN4" s="4" t="inlineStr">
        <is>
          <t>1 / 1</t>
        </is>
      </c>
      <c r="AO4" s="5" t="n"/>
      <c r="AP4" s="5" t="n"/>
      <c r="AQ4" s="5" t="n"/>
      <c r="AR4" s="5" t="n"/>
      <c r="AS4" s="5" t="n"/>
    </row>
    <row r="5"/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</row>
    <row r="7">
      <c r="A7" s="7" t="inlineStr">
        <is>
          <t>ALT GRUP VERİLERİ</t>
        </is>
      </c>
      <c r="B7" s="8" t="n"/>
      <c r="C7" s="8" t="n"/>
      <c r="D7" s="8" t="n"/>
      <c r="E7" s="8" t="n"/>
      <c r="F7" s="8" t="n"/>
      <c r="G7" s="8" t="n"/>
      <c r="H7" s="8" t="n"/>
      <c r="J7" s="7" t="inlineStr">
        <is>
          <t>TANIMLAMA</t>
        </is>
      </c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2" t="inlineStr">
        <is>
          <t>i</t>
        </is>
      </c>
      <c r="B8" s="2" t="inlineStr">
        <is>
          <t>n</t>
        </is>
      </c>
      <c r="C8" s="2">
        <f>IF(veri!$Z$3,"kusurlu d","hata c")</f>
        <v/>
      </c>
      <c r="D8" s="2">
        <f>IF(veri!$Z$3,"% kusurlu","DPU")</f>
        <v/>
      </c>
      <c r="E8" s="2" t="inlineStr">
        <is>
          <t>kart</t>
        </is>
      </c>
      <c r="F8" s="2" t="inlineStr">
        <is>
          <t>UCL</t>
        </is>
      </c>
      <c r="G8" s="2" t="inlineStr">
        <is>
          <t>LCL</t>
        </is>
      </c>
      <c r="H8" s="2" t="inlineStr">
        <is>
          <t>durum</t>
        </is>
      </c>
      <c r="J8" s="9" t="inlineStr">
        <is>
          <t>Ürün</t>
        </is>
      </c>
      <c r="K8" s="3" t="n"/>
      <c r="L8" s="3" t="n"/>
      <c r="M8" s="3" t="n"/>
      <c r="N8" s="10" t="n"/>
      <c r="O8" s="11" t="n"/>
      <c r="P8" s="11" t="n"/>
      <c r="Q8" s="11" t="n"/>
      <c r="R8" s="11" t="n"/>
    </row>
    <row r="9">
      <c r="A9" s="12" t="n">
        <v>1</v>
      </c>
      <c r="B9" s="13" t="n"/>
      <c r="C9" s="13" t="n"/>
      <c r="D9" s="14">
        <f>IF($B9="","",veri!K2)</f>
        <v/>
      </c>
      <c r="E9" s="14">
        <f>IF($B9="","",veri!D2)</f>
        <v/>
      </c>
      <c r="F9" s="15">
        <f>IF($B9="","",veri!G2)</f>
        <v/>
      </c>
      <c r="G9" s="15">
        <f>IF($B9="","",veri!H2)</f>
        <v/>
      </c>
      <c r="H9" s="16">
        <f>IF($B9="","",IF(OR(E9&gt;F9,E9&lt;G9),"KD",""))</f>
        <v/>
      </c>
      <c r="J9" s="9" t="inlineStr">
        <is>
          <t>Müşteri</t>
        </is>
      </c>
      <c r="K9" s="3" t="n"/>
      <c r="L9" s="3" t="n"/>
      <c r="M9" s="3" t="n"/>
      <c r="N9" s="10" t="n"/>
      <c r="O9" s="11" t="n"/>
      <c r="P9" s="11" t="n"/>
      <c r="Q9" s="11" t="n"/>
      <c r="R9" s="11" t="n"/>
    </row>
    <row r="10">
      <c r="A10" s="12" t="n">
        <v>2</v>
      </c>
      <c r="B10" s="13" t="n"/>
      <c r="C10" s="13" t="n"/>
      <c r="D10" s="14">
        <f>IF($B10="","",veri!K3)</f>
        <v/>
      </c>
      <c r="E10" s="14">
        <f>IF($B10="","",veri!D3)</f>
        <v/>
      </c>
      <c r="F10" s="15">
        <f>IF($B10="","",veri!G3)</f>
        <v/>
      </c>
      <c r="G10" s="15">
        <f>IF($B10="","",veri!H3)</f>
        <v/>
      </c>
      <c r="H10" s="16">
        <f>IF($B10="","",IF(OR(E10&gt;F10,E10&lt;G10),"KD",""))</f>
        <v/>
      </c>
      <c r="J10" s="9" t="inlineStr">
        <is>
          <t>Teknik resim</t>
        </is>
      </c>
      <c r="K10" s="3" t="n"/>
      <c r="L10" s="3" t="n"/>
      <c r="M10" s="3" t="n"/>
      <c r="N10" s="10" t="n"/>
      <c r="O10" s="11" t="n"/>
      <c r="P10" s="11" t="n"/>
      <c r="Q10" s="11" t="n"/>
      <c r="R10" s="11" t="n"/>
    </row>
    <row r="11">
      <c r="A11" s="12" t="n">
        <v>3</v>
      </c>
      <c r="B11" s="13" t="n"/>
      <c r="C11" s="13" t="n"/>
      <c r="D11" s="14">
        <f>IF($B11="","",veri!K4)</f>
        <v/>
      </c>
      <c r="E11" s="14">
        <f>IF($B11="","",veri!D4)</f>
        <v/>
      </c>
      <c r="F11" s="15">
        <f>IF($B11="","",veri!G4)</f>
        <v/>
      </c>
      <c r="G11" s="15">
        <f>IF($B11="","",veri!H4)</f>
        <v/>
      </c>
      <c r="H11" s="16">
        <f>IF($B11="","",IF(OR(E11&gt;F11,E11&lt;G11),"KD",""))</f>
        <v/>
      </c>
      <c r="J11" s="9" t="inlineStr">
        <is>
          <t>Karakteristik / kontrol</t>
        </is>
      </c>
      <c r="K11" s="3" t="n"/>
      <c r="L11" s="3" t="n"/>
      <c r="M11" s="3" t="n"/>
      <c r="N11" s="10" t="n"/>
      <c r="O11" s="11" t="n"/>
      <c r="P11" s="11" t="n"/>
      <c r="Q11" s="11" t="n"/>
      <c r="R11" s="11" t="n"/>
    </row>
    <row r="12">
      <c r="A12" s="12" t="n">
        <v>4</v>
      </c>
      <c r="B12" s="13" t="n"/>
      <c r="C12" s="13" t="n"/>
      <c r="D12" s="14">
        <f>IF($B12="","",veri!K5)</f>
        <v/>
      </c>
      <c r="E12" s="14">
        <f>IF($B12="","",veri!D5)</f>
        <v/>
      </c>
      <c r="F12" s="15">
        <f>IF($B12="","",veri!G5)</f>
        <v/>
      </c>
      <c r="G12" s="15">
        <f>IF($B12="","",veri!H5)</f>
        <v/>
      </c>
      <c r="H12" s="16">
        <f>IF($B12="","",IF(OR(E12&gt;F12,E12&lt;G12),"KD",""))</f>
        <v/>
      </c>
      <c r="J12" s="9" t="inlineStr">
        <is>
          <t>Kontrol yöntemi / cihaz</t>
        </is>
      </c>
      <c r="K12" s="3" t="n"/>
      <c r="L12" s="3" t="n"/>
      <c r="M12" s="3" t="n"/>
      <c r="N12" s="10" t="n"/>
      <c r="O12" s="11" t="n"/>
      <c r="P12" s="11" t="n"/>
      <c r="Q12" s="11" t="n"/>
      <c r="R12" s="11" t="n"/>
    </row>
    <row r="13">
      <c r="A13" s="12" t="n">
        <v>5</v>
      </c>
      <c r="B13" s="13" t="n"/>
      <c r="C13" s="13" t="n"/>
      <c r="D13" s="14">
        <f>IF($B13="","",veri!K6)</f>
        <v/>
      </c>
      <c r="E13" s="14">
        <f>IF($B13="","",veri!D6)</f>
        <v/>
      </c>
      <c r="F13" s="15">
        <f>IF($B13="","",veri!G6)</f>
        <v/>
      </c>
      <c r="G13" s="15">
        <f>IF($B13="","",veri!H6)</f>
        <v/>
      </c>
      <c r="H13" s="16">
        <f>IF($B13="","",IF(OR(E13&gt;F13,E13&lt;G13),"KD",""))</f>
        <v/>
      </c>
      <c r="J13" s="9" t="inlineStr">
        <is>
          <t>Sorumlu</t>
        </is>
      </c>
      <c r="K13" s="3" t="n"/>
      <c r="L13" s="3" t="n"/>
      <c r="M13" s="3" t="n"/>
      <c r="N13" s="10" t="n"/>
      <c r="O13" s="11" t="n"/>
      <c r="P13" s="11" t="n"/>
      <c r="Q13" s="11" t="n"/>
      <c r="R13" s="11" t="n"/>
    </row>
    <row r="14">
      <c r="A14" s="12" t="n">
        <v>6</v>
      </c>
      <c r="B14" s="13" t="n"/>
      <c r="C14" s="13" t="n"/>
      <c r="D14" s="14">
        <f>IF($B14="","",veri!K7)</f>
        <v/>
      </c>
      <c r="E14" s="14">
        <f>IF($B14="","",veri!D7)</f>
        <v/>
      </c>
      <c r="F14" s="15">
        <f>IF($B14="","",veri!G7)</f>
        <v/>
      </c>
      <c r="G14" s="15">
        <f>IF($B14="","",veri!H7)</f>
        <v/>
      </c>
      <c r="H14" s="16">
        <f>IF($B14="","",IF(OR(E14&gt;F14,E14&lt;G14),"KD",""))</f>
        <v/>
      </c>
      <c r="J14" s="9" t="inlineStr">
        <is>
          <t>Çalışmayı yapan</t>
        </is>
      </c>
      <c r="K14" s="3" t="n"/>
      <c r="L14" s="3" t="n"/>
      <c r="M14" s="3" t="n"/>
      <c r="N14" s="10" t="n"/>
      <c r="O14" s="11" t="n"/>
      <c r="P14" s="11" t="n"/>
      <c r="Q14" s="11" t="n"/>
      <c r="R14" s="11" t="n"/>
    </row>
    <row r="15">
      <c r="A15" s="12" t="n">
        <v>7</v>
      </c>
      <c r="B15" s="13" t="n"/>
      <c r="C15" s="13" t="n"/>
      <c r="D15" s="14">
        <f>IF($B15="","",veri!K8)</f>
        <v/>
      </c>
      <c r="E15" s="14">
        <f>IF($B15="","",veri!D8)</f>
        <v/>
      </c>
      <c r="F15" s="15">
        <f>IF($B15="","",veri!G8)</f>
        <v/>
      </c>
      <c r="G15" s="15">
        <f>IF($B15="","",veri!H8)</f>
        <v/>
      </c>
      <c r="H15" s="16">
        <f>IF($B15="","",IF(OR(E15&gt;F15,E15&lt;G15),"KD",""))</f>
        <v/>
      </c>
      <c r="J15" s="9" t="inlineStr">
        <is>
          <t>Tarih</t>
        </is>
      </c>
      <c r="K15" s="3" t="n"/>
      <c r="L15" s="3" t="n"/>
      <c r="M15" s="3" t="n"/>
      <c r="N15" s="17" t="n"/>
      <c r="O15" s="11" t="n"/>
      <c r="P15" s="11" t="n"/>
      <c r="Q15" s="11" t="n"/>
      <c r="R15" s="11" t="n"/>
    </row>
    <row r="16">
      <c r="A16" s="12" t="n">
        <v>8</v>
      </c>
      <c r="B16" s="13" t="n"/>
      <c r="C16" s="13" t="n"/>
      <c r="D16" s="14">
        <f>IF($B16="","",veri!K9)</f>
        <v/>
      </c>
      <c r="E16" s="14">
        <f>IF($B16="","",veri!D9)</f>
        <v/>
      </c>
      <c r="F16" s="15">
        <f>IF($B16="","",veri!G9)</f>
        <v/>
      </c>
      <c r="G16" s="15">
        <f>IF($B16="","",veri!H9)</f>
        <v/>
      </c>
      <c r="H16" s="16">
        <f>IF($B16="","",IF(OR(E16&gt;F16,E16&lt;G16),"KD",""))</f>
        <v/>
      </c>
      <c r="J16" s="9" t="inlineStr">
        <is>
          <t>Kart türü</t>
        </is>
      </c>
      <c r="K16" s="3" t="n"/>
      <c r="L16" s="3" t="n"/>
      <c r="M16" s="3" t="n"/>
      <c r="N16" s="18" t="inlineStr">
        <is>
          <t>p</t>
        </is>
      </c>
      <c r="O16" s="19" t="n"/>
      <c r="P16" s="19" t="n"/>
      <c r="Q16" s="19" t="n"/>
      <c r="R16" s="19" t="n"/>
    </row>
    <row r="17">
      <c r="A17" s="12" t="n">
        <v>9</v>
      </c>
      <c r="B17" s="13" t="n"/>
      <c r="C17" s="13" t="n"/>
      <c r="D17" s="14">
        <f>IF($B17="","",veri!K10)</f>
        <v/>
      </c>
      <c r="E17" s="14">
        <f>IF($B17="","",veri!D10)</f>
        <v/>
      </c>
      <c r="F17" s="15">
        <f>IF($B17="","",veri!G10)</f>
        <v/>
      </c>
      <c r="G17" s="15">
        <f>IF($B17="","",veri!H10)</f>
        <v/>
      </c>
      <c r="H17" s="16">
        <f>IF($B17="","",IF(OR(E17&gt;F17,E17&lt;G17),"KD",""))</f>
        <v/>
      </c>
      <c r="J17" s="9" t="inlineStr">
        <is>
          <t>Kart açıklaması</t>
        </is>
      </c>
      <c r="K17" s="3" t="n"/>
      <c r="L17" s="3" t="n"/>
      <c r="M17" s="3" t="n"/>
      <c r="N17" s="20">
        <f>CHOOSE(veri!$Z$1,"p — kusurlu oranı (Binomial)","np — kusurlu adedi, sabit n (Binomial)","u — birim başına hata (Poisson)","c — hata adedi, sabit birim (Poisson)")</f>
        <v/>
      </c>
      <c r="O17" s="11" t="n"/>
      <c r="P17" s="11" t="n"/>
      <c r="Q17" s="11" t="n"/>
      <c r="R17" s="11" t="n"/>
    </row>
    <row r="18">
      <c r="A18" s="12" t="n">
        <v>10</v>
      </c>
      <c r="B18" s="13" t="n"/>
      <c r="C18" s="13" t="n"/>
      <c r="D18" s="14">
        <f>IF($B18="","",veri!K11)</f>
        <v/>
      </c>
      <c r="E18" s="14">
        <f>IF($B18="","",veri!D11)</f>
        <v/>
      </c>
      <c r="F18" s="15">
        <f>IF($B18="","",veri!G11)</f>
        <v/>
      </c>
      <c r="G18" s="15">
        <f>IF($B18="","",veri!H11)</f>
        <v/>
      </c>
      <c r="H18" s="16">
        <f>IF($B18="","",IF(OR(E18&gt;F18,E18&lt;G18),"KD",""))</f>
        <v/>
      </c>
    </row>
    <row r="19">
      <c r="A19" s="12" t="n">
        <v>11</v>
      </c>
      <c r="B19" s="13" t="n"/>
      <c r="C19" s="13" t="n"/>
      <c r="D19" s="14">
        <f>IF($B19="","",veri!K12)</f>
        <v/>
      </c>
      <c r="E19" s="14">
        <f>IF($B19="","",veri!D12)</f>
        <v/>
      </c>
      <c r="F19" s="15">
        <f>IF($B19="","",veri!G12)</f>
        <v/>
      </c>
      <c r="G19" s="15">
        <f>IF($B19="","",veri!H12)</f>
        <v/>
      </c>
      <c r="H19" s="16">
        <f>IF($B19="","",IF(OR(E19&gt;F19,E19&lt;G19),"KD",""))</f>
        <v/>
      </c>
      <c r="J19" s="7" t="inlineStr">
        <is>
          <t>HEDEF VE KABUL KRİTERİ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12" t="n">
        <v>12</v>
      </c>
      <c r="B20" s="13" t="n"/>
      <c r="C20" s="13" t="n"/>
      <c r="D20" s="14">
        <f>IF($B20="","",veri!K13)</f>
        <v/>
      </c>
      <c r="E20" s="14">
        <f>IF($B20="","",veri!D13)</f>
        <v/>
      </c>
      <c r="F20" s="15">
        <f>IF($B20="","",veri!G13)</f>
        <v/>
      </c>
      <c r="G20" s="15">
        <f>IF($B20="","",veri!H13)</f>
        <v/>
      </c>
      <c r="H20" s="16">
        <f>IF($B20="","",IF(OR(E20&gt;F20,E20&lt;G20),"KD",""))</f>
        <v/>
      </c>
      <c r="J20" s="21" t="inlineStr">
        <is>
          <t>Hedef (% kusurlu / DPU)</t>
        </is>
      </c>
      <c r="K20" s="3" t="n"/>
      <c r="L20" s="3" t="n"/>
      <c r="M20" s="3" t="n"/>
      <c r="N20" s="22" t="n"/>
      <c r="O20" s="11" t="n"/>
      <c r="P20" s="11" t="n"/>
      <c r="Q20" s="11" t="n"/>
      <c r="R20" s="11" t="n"/>
    </row>
    <row r="21">
      <c r="A21" s="12" t="n">
        <v>13</v>
      </c>
      <c r="B21" s="13" t="n"/>
      <c r="C21" s="13" t="n"/>
      <c r="D21" s="14">
        <f>IF($B21="","",veri!K14)</f>
        <v/>
      </c>
      <c r="E21" s="14">
        <f>IF($B21="","",veri!D14)</f>
        <v/>
      </c>
      <c r="F21" s="15">
        <f>IF($B21="","",veri!G14)</f>
        <v/>
      </c>
      <c r="G21" s="15">
        <f>IF($B21="","",veri!H14)</f>
        <v/>
      </c>
      <c r="H21" s="16">
        <f>IF($B21="","",IF(OR(E21&gt;F21,E21&lt;G21),"KD",""))</f>
        <v/>
      </c>
      <c r="J21" s="21" t="inlineStr">
        <is>
          <t>Yeterli: Cpk eşd. ≥</t>
        </is>
      </c>
      <c r="K21" s="3" t="n"/>
      <c r="L21" s="3" t="n"/>
      <c r="M21" s="3" t="n"/>
      <c r="N21" s="23" t="n">
        <v>1.67</v>
      </c>
      <c r="O21" s="11" t="n"/>
      <c r="P21" s="11" t="n"/>
      <c r="Q21" s="11" t="n"/>
      <c r="R21" s="11" t="n"/>
    </row>
    <row r="22">
      <c r="A22" s="12" t="n">
        <v>14</v>
      </c>
      <c r="B22" s="13" t="n"/>
      <c r="C22" s="13" t="n"/>
      <c r="D22" s="14">
        <f>IF($B22="","",veri!K15)</f>
        <v/>
      </c>
      <c r="E22" s="14">
        <f>IF($B22="","",veri!D15)</f>
        <v/>
      </c>
      <c r="F22" s="15">
        <f>IF($B22="","",veri!G15)</f>
        <v/>
      </c>
      <c r="G22" s="15">
        <f>IF($B22="","",veri!H15)</f>
        <v/>
      </c>
      <c r="H22" s="16">
        <f>IF($B22="","",IF(OR(E22&gt;F22,E22&lt;G22),"KD",""))</f>
        <v/>
      </c>
      <c r="J22" s="21" t="inlineStr">
        <is>
          <t>Şartlı: Cpk eşd. ≥</t>
        </is>
      </c>
      <c r="K22" s="3" t="n"/>
      <c r="L22" s="3" t="n"/>
      <c r="M22" s="3" t="n"/>
      <c r="N22" s="23" t="n">
        <v>1.33</v>
      </c>
      <c r="O22" s="11" t="n"/>
      <c r="P22" s="11" t="n"/>
      <c r="Q22" s="11" t="n"/>
      <c r="R22" s="11" t="n"/>
    </row>
    <row r="23">
      <c r="A23" s="12" t="n">
        <v>15</v>
      </c>
      <c r="B23" s="13" t="n"/>
      <c r="C23" s="13" t="n"/>
      <c r="D23" s="14">
        <f>IF($B23="","",veri!K16)</f>
        <v/>
      </c>
      <c r="E23" s="14">
        <f>IF($B23="","",veri!D16)</f>
        <v/>
      </c>
      <c r="F23" s="15">
        <f>IF($B23="","",veri!G16)</f>
        <v/>
      </c>
      <c r="G23" s="15">
        <f>IF($B23="","",veri!H16)</f>
        <v/>
      </c>
      <c r="H23" s="16">
        <f>IF($B23="","",IF(OR(E23&gt;F23,E23&lt;G23),"KD",""))</f>
        <v/>
      </c>
    </row>
    <row r="24">
      <c r="A24" s="12" t="n">
        <v>16</v>
      </c>
      <c r="B24" s="13" t="n"/>
      <c r="C24" s="13" t="n"/>
      <c r="D24" s="14">
        <f>IF($B24="","",veri!K17)</f>
        <v/>
      </c>
      <c r="E24" s="14">
        <f>IF($B24="","",veri!D17)</f>
        <v/>
      </c>
      <c r="F24" s="15">
        <f>IF($B24="","",veri!G17)</f>
        <v/>
      </c>
      <c r="G24" s="15">
        <f>IF($B24="","",veri!H17)</f>
        <v/>
      </c>
      <c r="H24" s="16">
        <f>IF($B24="","",IF(OR(E24&gt;F24,E24&lt;G24),"KD",""))</f>
        <v/>
      </c>
      <c r="J24" s="7" t="inlineStr">
        <is>
          <t>İSTATİSTİK  (canlı formül)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12" t="n">
        <v>17</v>
      </c>
      <c r="B25" s="13" t="n"/>
      <c r="C25" s="13" t="n"/>
      <c r="D25" s="14">
        <f>IF($B25="","",veri!K18)</f>
        <v/>
      </c>
      <c r="E25" s="14">
        <f>IF($B25="","",veri!D18)</f>
        <v/>
      </c>
      <c r="F25" s="15">
        <f>IF($B25="","",veri!G18)</f>
        <v/>
      </c>
      <c r="G25" s="15">
        <f>IF($B25="","",veri!H18)</f>
        <v/>
      </c>
      <c r="H25" s="16">
        <f>IF($B25="","",IF(OR(E25&gt;F25,E25&lt;G25),"KD",""))</f>
        <v/>
      </c>
      <c r="J25" s="21" t="inlineStr">
        <is>
          <t>Alt grup sayısı k</t>
        </is>
      </c>
      <c r="K25" s="3" t="n"/>
      <c r="L25" s="3" t="n"/>
      <c r="M25" s="3" t="n"/>
      <c r="N25" s="24">
        <f>COUNT(B9:B58)</f>
        <v/>
      </c>
      <c r="O25" s="11" t="n"/>
      <c r="P25" s="11" t="n"/>
      <c r="Q25" s="11" t="n"/>
      <c r="R25" s="11" t="n"/>
    </row>
    <row r="26">
      <c r="A26" s="12" t="n">
        <v>18</v>
      </c>
      <c r="B26" s="13" t="n"/>
      <c r="C26" s="13" t="n"/>
      <c r="D26" s="14">
        <f>IF($B26="","",veri!K19)</f>
        <v/>
      </c>
      <c r="E26" s="14">
        <f>IF($B26="","",veri!D19)</f>
        <v/>
      </c>
      <c r="F26" s="15">
        <f>IF($B26="","",veri!G19)</f>
        <v/>
      </c>
      <c r="G26" s="15">
        <f>IF($B26="","",veri!H19)</f>
        <v/>
      </c>
      <c r="H26" s="16">
        <f>IF($B26="","",IF(OR(E26&gt;F26,E26&lt;G26),"KD",""))</f>
        <v/>
      </c>
      <c r="J26" s="21" t="inlineStr">
        <is>
          <t>Toplam n</t>
        </is>
      </c>
      <c r="K26" s="3" t="n"/>
      <c r="L26" s="3" t="n"/>
      <c r="M26" s="3" t="n"/>
      <c r="N26" s="25">
        <f>SUM(B9:B58)</f>
        <v/>
      </c>
      <c r="O26" s="11" t="n"/>
      <c r="P26" s="11" t="n"/>
      <c r="Q26" s="11" t="n"/>
      <c r="R26" s="11" t="n"/>
    </row>
    <row r="27">
      <c r="A27" s="12" t="n">
        <v>19</v>
      </c>
      <c r="B27" s="13" t="n"/>
      <c r="C27" s="13" t="n"/>
      <c r="D27" s="14">
        <f>IF($B27="","",veri!K20)</f>
        <v/>
      </c>
      <c r="E27" s="14">
        <f>IF($B27="","",veri!D20)</f>
        <v/>
      </c>
      <c r="F27" s="15">
        <f>IF($B27="","",veri!G20)</f>
        <v/>
      </c>
      <c r="G27" s="15">
        <f>IF($B27="","",veri!H20)</f>
        <v/>
      </c>
      <c r="H27" s="16">
        <f>IF($B27="","",IF(OR(E27&gt;F27,E27&lt;G27),"KD",""))</f>
        <v/>
      </c>
      <c r="J27" s="21" t="inlineStr">
        <is>
          <t>Ortalama oran (p̄ / ū)</t>
        </is>
      </c>
      <c r="K27" s="3" t="n"/>
      <c r="L27" s="3" t="n"/>
      <c r="M27" s="3" t="n"/>
      <c r="N27" s="26">
        <f>IF(N26=0,"",SUM(C9:C58)/N26)</f>
        <v/>
      </c>
      <c r="O27" s="11" t="n"/>
      <c r="P27" s="11" t="n"/>
      <c r="Q27" s="11" t="n"/>
      <c r="R27" s="11" t="n"/>
    </row>
    <row r="28">
      <c r="A28" s="12" t="n">
        <v>20</v>
      </c>
      <c r="B28" s="13" t="n"/>
      <c r="C28" s="13" t="n"/>
      <c r="D28" s="14">
        <f>IF($B28="","",veri!K21)</f>
        <v/>
      </c>
      <c r="E28" s="14">
        <f>IF($B28="","",veri!D21)</f>
        <v/>
      </c>
      <c r="F28" s="15">
        <f>IF($B28="","",veri!G21)</f>
        <v/>
      </c>
      <c r="G28" s="15">
        <f>IF($B28="","",veri!H21)</f>
        <v/>
      </c>
      <c r="H28" s="16">
        <f>IF($B28="","",IF(OR(E28&gt;F28,E28&lt;G28),"KD",""))</f>
        <v/>
      </c>
      <c r="J28" s="21">
        <f>IF(veri!$Z$3,"Toplam kusurlu","Toplam hata")</f>
        <v/>
      </c>
      <c r="K28" s="3" t="n"/>
      <c r="L28" s="3" t="n"/>
      <c r="M28" s="3" t="n"/>
      <c r="N28" s="24">
        <f>SUM(C9:C58)</f>
        <v/>
      </c>
      <c r="O28" s="11" t="n"/>
      <c r="P28" s="11" t="n"/>
      <c r="Q28" s="11" t="n"/>
      <c r="R28" s="11" t="n"/>
    </row>
    <row r="29">
      <c r="A29" s="12" t="n">
        <v>21</v>
      </c>
      <c r="B29" s="13" t="n"/>
      <c r="C29" s="13" t="n"/>
      <c r="D29" s="14">
        <f>IF($B29="","",veri!K22)</f>
        <v/>
      </c>
      <c r="E29" s="14">
        <f>IF($B29="","",veri!D22)</f>
        <v/>
      </c>
      <c r="F29" s="15">
        <f>IF($B29="","",veri!G22)</f>
        <v/>
      </c>
      <c r="G29" s="15">
        <f>IF($B29="","",veri!H22)</f>
        <v/>
      </c>
      <c r="H29" s="16">
        <f>IF($B29="","",IF(OR(E29&gt;F29,E29&lt;G29),"KD",""))</f>
        <v/>
      </c>
      <c r="J29" s="21">
        <f>IF(veri!$Z$3,"% kusurlu","DPU (birim başına)")</f>
        <v/>
      </c>
      <c r="K29" s="3" t="n"/>
      <c r="L29" s="3" t="n"/>
      <c r="M29" s="3" t="n"/>
      <c r="N29" s="27">
        <f>IF(N27="","",N27*IF(veri!$Z$3,100,1))</f>
        <v/>
      </c>
      <c r="O29" s="11" t="n"/>
      <c r="P29" s="11" t="n"/>
      <c r="Q29" s="11" t="n"/>
      <c r="R29" s="11" t="n"/>
    </row>
    <row r="30">
      <c r="A30" s="12" t="n">
        <v>22</v>
      </c>
      <c r="B30" s="13" t="n"/>
      <c r="C30" s="13" t="n"/>
      <c r="D30" s="14">
        <f>IF($B30="","",veri!K23)</f>
        <v/>
      </c>
      <c r="E30" s="14">
        <f>IF($B30="","",veri!D23)</f>
        <v/>
      </c>
      <c r="F30" s="15">
        <f>IF($B30="","",veri!G23)</f>
        <v/>
      </c>
      <c r="G30" s="15">
        <f>IF($B30="","",veri!H23)</f>
        <v/>
      </c>
      <c r="H30" s="16">
        <f>IF($B30="","",IF(OR(E30&gt;F30,E30&lt;G30),"KD",""))</f>
        <v/>
      </c>
      <c r="J30" s="21">
        <f>IF(veri!$Z$3,"PPM (kusurlu)","DPMO")</f>
        <v/>
      </c>
      <c r="K30" s="3" t="n"/>
      <c r="L30" s="3" t="n"/>
      <c r="M30" s="3" t="n"/>
      <c r="N30" s="28">
        <f>IF(N27="","",N27*1000000)</f>
        <v/>
      </c>
      <c r="O30" s="11" t="n"/>
      <c r="P30" s="11" t="n"/>
      <c r="Q30" s="11" t="n"/>
      <c r="R30" s="11" t="n"/>
    </row>
    <row r="31">
      <c r="A31" s="12" t="n">
        <v>23</v>
      </c>
      <c r="B31" s="13" t="n"/>
      <c r="C31" s="13" t="n"/>
      <c r="D31" s="14">
        <f>IF($B31="","",veri!K24)</f>
        <v/>
      </c>
      <c r="E31" s="14">
        <f>IF($B31="","",veri!D24)</f>
        <v/>
      </c>
      <c r="F31" s="15">
        <f>IF($B31="","",veri!G24)</f>
        <v/>
      </c>
      <c r="G31" s="15">
        <f>IF($B31="","",veri!H24)</f>
        <v/>
      </c>
      <c r="H31" s="16">
        <f>IF($B31="","",IF(OR(E31&gt;F31,E31&lt;G31),"KD",""))</f>
        <v/>
      </c>
      <c r="J31" s="21" t="inlineStr">
        <is>
          <t>%95 güven aralığı — alt</t>
        </is>
      </c>
      <c r="K31" s="3" t="n"/>
      <c r="L31" s="3" t="n"/>
      <c r="M31" s="3" t="n"/>
      <c r="N31" s="27">
        <f>IF(N27="","",MAX(0,N27-1.96*SQRT(IF(veri!$Z$3,N27*(1-N27),N27)/N26))*IF(veri!$Z$3,100,1))</f>
        <v/>
      </c>
      <c r="O31" s="11" t="n"/>
      <c r="P31" s="11" t="n"/>
      <c r="Q31" s="11" t="n"/>
      <c r="R31" s="11" t="n"/>
    </row>
    <row r="32">
      <c r="A32" s="12" t="n">
        <v>24</v>
      </c>
      <c r="B32" s="13" t="n"/>
      <c r="C32" s="13" t="n"/>
      <c r="D32" s="14">
        <f>IF($B32="","",veri!K25)</f>
        <v/>
      </c>
      <c r="E32" s="14">
        <f>IF($B32="","",veri!D25)</f>
        <v/>
      </c>
      <c r="F32" s="15">
        <f>IF($B32="","",veri!G25)</f>
        <v/>
      </c>
      <c r="G32" s="15">
        <f>IF($B32="","",veri!H25)</f>
        <v/>
      </c>
      <c r="H32" s="16">
        <f>IF($B32="","",IF(OR(E32&gt;F32,E32&lt;G32),"KD",""))</f>
        <v/>
      </c>
      <c r="J32" s="21" t="inlineStr">
        <is>
          <t>%95 güven aralığı — üst</t>
        </is>
      </c>
      <c r="K32" s="3" t="n"/>
      <c r="L32" s="3" t="n"/>
      <c r="M32" s="3" t="n"/>
      <c r="N32" s="27">
        <f>IF(N27="","",(N27+1.96*SQRT(IF(veri!$Z$3,N27*(1-N27),N27)/N26))*IF(veri!$Z$3,100,1))</f>
        <v/>
      </c>
      <c r="O32" s="11" t="n"/>
      <c r="P32" s="11" t="n"/>
      <c r="Q32" s="11" t="n"/>
      <c r="R32" s="11" t="n"/>
    </row>
    <row r="33">
      <c r="A33" s="12" t="n">
        <v>25</v>
      </c>
      <c r="B33" s="13" t="n"/>
      <c r="C33" s="13" t="n"/>
      <c r="D33" s="14">
        <f>IF($B33="","",veri!K26)</f>
        <v/>
      </c>
      <c r="E33" s="14">
        <f>IF($B33="","",veri!D26)</f>
        <v/>
      </c>
      <c r="F33" s="15">
        <f>IF($B33="","",veri!G26)</f>
        <v/>
      </c>
      <c r="G33" s="15">
        <f>IF($B33="","",veri!H26)</f>
        <v/>
      </c>
      <c r="H33" s="16">
        <f>IF($B33="","",IF(OR(E33&gt;F33,E33&lt;G33),"KD",""))</f>
        <v/>
      </c>
      <c r="J33" s="21" t="inlineStr">
        <is>
          <t>Kontrol dışı alt grup</t>
        </is>
      </c>
      <c r="K33" s="3" t="n"/>
      <c r="L33" s="3" t="n"/>
      <c r="M33" s="3" t="n"/>
      <c r="N33" s="24">
        <f>COUNTIF(H9:H58,"KD")</f>
        <v/>
      </c>
      <c r="O33" s="11" t="n"/>
      <c r="P33" s="11" t="n"/>
      <c r="Q33" s="11" t="n"/>
      <c r="R33" s="11" t="n"/>
    </row>
    <row r="34">
      <c r="A34" s="12" t="n">
        <v>26</v>
      </c>
      <c r="B34" s="13" t="n"/>
      <c r="C34" s="13" t="n"/>
      <c r="D34" s="14">
        <f>IF($B34="","",veri!K27)</f>
        <v/>
      </c>
      <c r="E34" s="14">
        <f>IF($B34="","",veri!D27)</f>
        <v/>
      </c>
      <c r="F34" s="15">
        <f>IF($B34="","",veri!G27)</f>
        <v/>
      </c>
      <c r="G34" s="15">
        <f>IF($B34="","",veri!H27)</f>
        <v/>
      </c>
      <c r="H34" s="16">
        <f>IF($B34="","",IF(OR(E34&gt;F34,E34&lt;G34),"KD",""))</f>
        <v/>
      </c>
    </row>
    <row r="35">
      <c r="A35" s="12" t="n">
        <v>27</v>
      </c>
      <c r="B35" s="13" t="n"/>
      <c r="C35" s="13" t="n"/>
      <c r="D35" s="14">
        <f>IF($B35="","",veri!K28)</f>
        <v/>
      </c>
      <c r="E35" s="14">
        <f>IF($B35="","",veri!D28)</f>
        <v/>
      </c>
      <c r="F35" s="15">
        <f>IF($B35="","",veri!G28)</f>
        <v/>
      </c>
      <c r="G35" s="15">
        <f>IF($B35="","",veri!H28)</f>
        <v/>
      </c>
      <c r="H35" s="16">
        <f>IF($B35="","",IF(OR(E35&gt;F35,E35&lt;G35),"KD",""))</f>
        <v/>
      </c>
      <c r="J35" s="7" t="inlineStr">
        <is>
          <t>YETERLİLİK</t>
        </is>
      </c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12" t="n">
        <v>28</v>
      </c>
      <c r="B36" s="13" t="n"/>
      <c r="C36" s="13" t="n"/>
      <c r="D36" s="14">
        <f>IF($B36="","",veri!K29)</f>
        <v/>
      </c>
      <c r="E36" s="14">
        <f>IF($B36="","",veri!D29)</f>
        <v/>
      </c>
      <c r="F36" s="15">
        <f>IF($B36="","",veri!G29)</f>
        <v/>
      </c>
      <c r="G36" s="15">
        <f>IF($B36="","",veri!H29)</f>
        <v/>
      </c>
      <c r="H36" s="16">
        <f>IF($B36="","",IF(OR(E36&gt;F36,E36&lt;G36),"KD",""))</f>
        <v/>
      </c>
      <c r="J36" s="21" t="inlineStr">
        <is>
          <t>Süreç Z</t>
        </is>
      </c>
      <c r="K36" s="3" t="n"/>
      <c r="L36" s="3" t="n"/>
      <c r="M36" s="3" t="n"/>
      <c r="N36" s="22">
        <f>IF(OR(N27="",N28=0),"",IF(veri!$Z$3,NORMSINV(1-N27),NORMSINV(EXP(-N27))))</f>
        <v/>
      </c>
      <c r="O36" s="11" t="n"/>
      <c r="P36" s="11" t="n"/>
      <c r="Q36" s="11" t="n"/>
      <c r="R36" s="11" t="n"/>
    </row>
    <row r="37">
      <c r="A37" s="12" t="n">
        <v>29</v>
      </c>
      <c r="B37" s="13" t="n"/>
      <c r="C37" s="13" t="n"/>
      <c r="D37" s="14">
        <f>IF($B37="","",veri!K30)</f>
        <v/>
      </c>
      <c r="E37" s="14">
        <f>IF($B37="","",veri!D30)</f>
        <v/>
      </c>
      <c r="F37" s="15">
        <f>IF($B37="","",veri!G30)</f>
        <v/>
      </c>
      <c r="G37" s="15">
        <f>IF($B37="","",veri!H30)</f>
        <v/>
      </c>
      <c r="H37" s="16">
        <f>IF($B37="","",IF(OR(E37&gt;F37,E37&lt;G37),"KD",""))</f>
        <v/>
      </c>
      <c r="J37" s="29" t="inlineStr">
        <is>
          <t>Cpk eşdeğeri (Z / 3)</t>
        </is>
      </c>
      <c r="K37" s="3" t="n"/>
      <c r="L37" s="3" t="n"/>
      <c r="M37" s="3" t="n"/>
      <c r="N37" s="30">
        <f>IF(N36="","",N36/3)</f>
        <v/>
      </c>
      <c r="O37" s="11" t="n"/>
      <c r="P37" s="11" t="n"/>
      <c r="Q37" s="11" t="n"/>
      <c r="R37" s="11" t="n"/>
    </row>
    <row r="38">
      <c r="A38" s="12" t="n">
        <v>30</v>
      </c>
      <c r="B38" s="13" t="n"/>
      <c r="C38" s="13" t="n"/>
      <c r="D38" s="14">
        <f>IF($B38="","",veri!K31)</f>
        <v/>
      </c>
      <c r="E38" s="14">
        <f>IF($B38="","",veri!D31)</f>
        <v/>
      </c>
      <c r="F38" s="15">
        <f>IF($B38="","",veri!G31)</f>
        <v/>
      </c>
      <c r="G38" s="15">
        <f>IF($B38="","",veri!H31)</f>
        <v/>
      </c>
      <c r="H38" s="16">
        <f>IF($B38="","",IF(OR(E38&gt;F38,E38&lt;G38),"KD",""))</f>
        <v/>
      </c>
      <c r="J38" s="9" t="inlineStr">
        <is>
          <t>Yöntem</t>
        </is>
      </c>
      <c r="K38" s="3" t="n"/>
      <c r="L38" s="3" t="n"/>
      <c r="M38" s="3" t="n"/>
      <c r="N38" s="10">
        <f>IF(veri!$Z$3,"Binomial: Z = NORMSINV(1 − p̄)","Poisson: Z = NORMSINV(e^−DPU)")</f>
        <v/>
      </c>
      <c r="O38" s="11" t="n"/>
      <c r="P38" s="11" t="n"/>
      <c r="Q38" s="11" t="n"/>
      <c r="R38" s="11" t="n"/>
    </row>
    <row r="39">
      <c r="A39" s="12" t="n">
        <v>31</v>
      </c>
      <c r="B39" s="13" t="n"/>
      <c r="C39" s="13" t="n"/>
      <c r="D39" s="14">
        <f>IF($B39="","",veri!K32)</f>
        <v/>
      </c>
      <c r="E39" s="14">
        <f>IF($B39="","",veri!D32)</f>
        <v/>
      </c>
      <c r="F39" s="15">
        <f>IF($B39="","",veri!G32)</f>
        <v/>
      </c>
      <c r="G39" s="15">
        <f>IF($B39="","",veri!H32)</f>
        <v/>
      </c>
      <c r="H39" s="16">
        <f>IF($B39="","",IF(OR(E39&gt;F39,E39&lt;G39),"KD",""))</f>
        <v/>
      </c>
    </row>
    <row r="40" ht="20" customHeight="1">
      <c r="A40" s="12" t="n">
        <v>32</v>
      </c>
      <c r="B40" s="13" t="n"/>
      <c r="C40" s="13" t="n"/>
      <c r="D40" s="14">
        <f>IF($B40="","",veri!K33)</f>
        <v/>
      </c>
      <c r="E40" s="14">
        <f>IF($B40="","",veri!D33)</f>
        <v/>
      </c>
      <c r="F40" s="15">
        <f>IF($B40="","",veri!G33)</f>
        <v/>
      </c>
      <c r="G40" s="15">
        <f>IF($B40="","",veri!H33)</f>
        <v/>
      </c>
      <c r="H40" s="16">
        <f>IF($B40="","",IF(OR(E40&gt;F40,E40&lt;G40),"KD",""))</f>
        <v/>
      </c>
      <c r="J40" s="31">
        <f>"DEĞERLENDİRME:  "&amp;IF(N37="","— (hiç kusur yok: Cpk eşdeğeri hesaplanamaz)",IF(N33&gt;0,"KARARSIZ — önce özel sebepleri giderin",IF(N37&gt;=N21,"YETERLİ",IF(N37&gt;=N22,"ŞARTLI KABUL","YETERSİZ"))))&amp;IF(N37="","","  (Cpk eşd. = "&amp;ROUND(N37,2)&amp;")")</f>
        <v/>
      </c>
      <c r="K40" s="32" t="n"/>
      <c r="L40" s="32" t="n"/>
      <c r="M40" s="32" t="n"/>
      <c r="N40" s="32" t="n"/>
      <c r="O40" s="32" t="n"/>
      <c r="P40" s="32" t="n"/>
      <c r="Q40" s="32" t="n"/>
      <c r="R40" s="32" t="n"/>
    </row>
    <row r="41">
      <c r="A41" s="12" t="n">
        <v>33</v>
      </c>
      <c r="B41" s="13" t="n"/>
      <c r="C41" s="13" t="n"/>
      <c r="D41" s="14">
        <f>IF($B41="","",veri!K34)</f>
        <v/>
      </c>
      <c r="E41" s="14">
        <f>IF($B41="","",veri!D34)</f>
        <v/>
      </c>
      <c r="F41" s="15">
        <f>IF($B41="","",veri!G34)</f>
        <v/>
      </c>
      <c r="G41" s="15">
        <f>IF($B41="","",veri!H34)</f>
        <v/>
      </c>
      <c r="H41" s="16">
        <f>IF($B41="","",IF(OR(E41&gt;F41,E41&lt;G41),"KD",""))</f>
        <v/>
      </c>
    </row>
    <row r="42">
      <c r="A42" s="12" t="n">
        <v>34</v>
      </c>
      <c r="B42" s="13" t="n"/>
      <c r="C42" s="13" t="n"/>
      <c r="D42" s="14">
        <f>IF($B42="","",veri!K35)</f>
        <v/>
      </c>
      <c r="E42" s="14">
        <f>IF($B42="","",veri!D35)</f>
        <v/>
      </c>
      <c r="F42" s="15">
        <f>IF($B42="","",veri!G35)</f>
        <v/>
      </c>
      <c r="G42" s="15">
        <f>IF($B42="","",veri!H35)</f>
        <v/>
      </c>
      <c r="H42" s="16">
        <f>IF($B42="","",IF(OR(E42&gt;F42,E42&lt;G42),"KD",""))</f>
        <v/>
      </c>
      <c r="J42" s="33">
        <f>"Kabul: Cpk eşdeğeri ≥ "&amp;N21&amp;" yeterli · "&amp;N22&amp;"–"&amp;N21&amp;" müşteri temsilcisiyle gözden geçirilir · &lt; "&amp;N22&amp;" yetersiz. Kontrol sınırları ±3σ."</f>
        <v/>
      </c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12" t="n">
        <v>35</v>
      </c>
      <c r="B43" s="13" t="n"/>
      <c r="C43" s="13" t="n"/>
      <c r="D43" s="14">
        <f>IF($B43="","",veri!K36)</f>
        <v/>
      </c>
      <c r="E43" s="14">
        <f>IF($B43="","",veri!D36)</f>
        <v/>
      </c>
      <c r="F43" s="15">
        <f>IF($B43="","",veri!G36)</f>
        <v/>
      </c>
      <c r="G43" s="15">
        <f>IF($B43="","",veri!H36)</f>
        <v/>
      </c>
      <c r="H43" s="16">
        <f>IF($B43="","",IF(OR(E43&gt;F43,E43&lt;G43),"KD",""))</f>
        <v/>
      </c>
    </row>
    <row r="44">
      <c r="A44" s="12" t="n">
        <v>36</v>
      </c>
      <c r="B44" s="13" t="n"/>
      <c r="C44" s="13" t="n"/>
      <c r="D44" s="14">
        <f>IF($B44="","",veri!K37)</f>
        <v/>
      </c>
      <c r="E44" s="14">
        <f>IF($B44="","",veri!D37)</f>
        <v/>
      </c>
      <c r="F44" s="15">
        <f>IF($B44="","",veri!G37)</f>
        <v/>
      </c>
      <c r="G44" s="15">
        <f>IF($B44="","",veri!H37)</f>
        <v/>
      </c>
      <c r="H44" s="16">
        <f>IF($B44="","",IF(OR(E44&gt;F44,E44&lt;G44),"KD",""))</f>
        <v/>
      </c>
    </row>
    <row r="45">
      <c r="A45" s="12" t="n">
        <v>37</v>
      </c>
      <c r="B45" s="13" t="n"/>
      <c r="C45" s="13" t="n"/>
      <c r="D45" s="14">
        <f>IF($B45="","",veri!K38)</f>
        <v/>
      </c>
      <c r="E45" s="14">
        <f>IF($B45="","",veri!D38)</f>
        <v/>
      </c>
      <c r="F45" s="15">
        <f>IF($B45="","",veri!G38)</f>
        <v/>
      </c>
      <c r="G45" s="15">
        <f>IF($B45="","",veri!H38)</f>
        <v/>
      </c>
      <c r="H45" s="16">
        <f>IF($B45="","",IF(OR(E45&gt;F45,E45&lt;G45),"KD",""))</f>
        <v/>
      </c>
    </row>
    <row r="46">
      <c r="A46" s="12" t="n">
        <v>38</v>
      </c>
      <c r="B46" s="13" t="n"/>
      <c r="C46" s="13" t="n"/>
      <c r="D46" s="14">
        <f>IF($B46="","",veri!K39)</f>
        <v/>
      </c>
      <c r="E46" s="14">
        <f>IF($B46="","",veri!D39)</f>
        <v/>
      </c>
      <c r="F46" s="15">
        <f>IF($B46="","",veri!G39)</f>
        <v/>
      </c>
      <c r="G46" s="15">
        <f>IF($B46="","",veri!H39)</f>
        <v/>
      </c>
      <c r="H46" s="16">
        <f>IF($B46="","",IF(OR(E46&gt;F46,E46&lt;G46),"KD",""))</f>
        <v/>
      </c>
    </row>
    <row r="47">
      <c r="A47" s="12" t="n">
        <v>39</v>
      </c>
      <c r="B47" s="13" t="n"/>
      <c r="C47" s="13" t="n"/>
      <c r="D47" s="14">
        <f>IF($B47="","",veri!K40)</f>
        <v/>
      </c>
      <c r="E47" s="14">
        <f>IF($B47="","",veri!D40)</f>
        <v/>
      </c>
      <c r="F47" s="15">
        <f>IF($B47="","",veri!G40)</f>
        <v/>
      </c>
      <c r="G47" s="15">
        <f>IF($B47="","",veri!H40)</f>
        <v/>
      </c>
      <c r="H47" s="16">
        <f>IF($B47="","",IF(OR(E47&gt;F47,E47&lt;G47),"KD",""))</f>
        <v/>
      </c>
    </row>
    <row r="48">
      <c r="A48" s="12" t="n">
        <v>40</v>
      </c>
      <c r="B48" s="13" t="n"/>
      <c r="C48" s="13" t="n"/>
      <c r="D48" s="14">
        <f>IF($B48="","",veri!K41)</f>
        <v/>
      </c>
      <c r="E48" s="14">
        <f>IF($B48="","",veri!D41)</f>
        <v/>
      </c>
      <c r="F48" s="15">
        <f>IF($B48="","",veri!G41)</f>
        <v/>
      </c>
      <c r="G48" s="15">
        <f>IF($B48="","",veri!H41)</f>
        <v/>
      </c>
      <c r="H48" s="16">
        <f>IF($B48="","",IF(OR(E48&gt;F48,E48&lt;G48),"KD",""))</f>
        <v/>
      </c>
    </row>
    <row r="49">
      <c r="A49" s="12" t="n">
        <v>41</v>
      </c>
      <c r="B49" s="13" t="n"/>
      <c r="C49" s="13" t="n"/>
      <c r="D49" s="14">
        <f>IF($B49="","",veri!K42)</f>
        <v/>
      </c>
      <c r="E49" s="14">
        <f>IF($B49="","",veri!D42)</f>
        <v/>
      </c>
      <c r="F49" s="15">
        <f>IF($B49="","",veri!G42)</f>
        <v/>
      </c>
      <c r="G49" s="15">
        <f>IF($B49="","",veri!H42)</f>
        <v/>
      </c>
      <c r="H49" s="16">
        <f>IF($B49="","",IF(OR(E49&gt;F49,E49&lt;G49),"KD",""))</f>
        <v/>
      </c>
    </row>
    <row r="50">
      <c r="A50" s="12" t="n">
        <v>42</v>
      </c>
      <c r="B50" s="13" t="n"/>
      <c r="C50" s="13" t="n"/>
      <c r="D50" s="14">
        <f>IF($B50="","",veri!K43)</f>
        <v/>
      </c>
      <c r="E50" s="14">
        <f>IF($B50="","",veri!D43)</f>
        <v/>
      </c>
      <c r="F50" s="15">
        <f>IF($B50="","",veri!G43)</f>
        <v/>
      </c>
      <c r="G50" s="15">
        <f>IF($B50="","",veri!H43)</f>
        <v/>
      </c>
      <c r="H50" s="16">
        <f>IF($B50="","",IF(OR(E50&gt;F50,E50&lt;G50),"KD",""))</f>
        <v/>
      </c>
    </row>
    <row r="51">
      <c r="A51" s="12" t="n">
        <v>43</v>
      </c>
      <c r="B51" s="13" t="n"/>
      <c r="C51" s="13" t="n"/>
      <c r="D51" s="14">
        <f>IF($B51="","",veri!K44)</f>
        <v/>
      </c>
      <c r="E51" s="14">
        <f>IF($B51="","",veri!D44)</f>
        <v/>
      </c>
      <c r="F51" s="15">
        <f>IF($B51="","",veri!G44)</f>
        <v/>
      </c>
      <c r="G51" s="15">
        <f>IF($B51="","",veri!H44)</f>
        <v/>
      </c>
      <c r="H51" s="16">
        <f>IF($B51="","",IF(OR(E51&gt;F51,E51&lt;G51),"KD",""))</f>
        <v/>
      </c>
    </row>
    <row r="52">
      <c r="A52" s="12" t="n">
        <v>44</v>
      </c>
      <c r="B52" s="13" t="n"/>
      <c r="C52" s="13" t="n"/>
      <c r="D52" s="14">
        <f>IF($B52="","",veri!K45)</f>
        <v/>
      </c>
      <c r="E52" s="14">
        <f>IF($B52="","",veri!D45)</f>
        <v/>
      </c>
      <c r="F52" s="15">
        <f>IF($B52="","",veri!G45)</f>
        <v/>
      </c>
      <c r="G52" s="15">
        <f>IF($B52="","",veri!H45)</f>
        <v/>
      </c>
      <c r="H52" s="16">
        <f>IF($B52="","",IF(OR(E52&gt;F52,E52&lt;G52),"KD",""))</f>
        <v/>
      </c>
    </row>
    <row r="53">
      <c r="A53" s="12" t="n">
        <v>45</v>
      </c>
      <c r="B53" s="13" t="n"/>
      <c r="C53" s="13" t="n"/>
      <c r="D53" s="14">
        <f>IF($B53="","",veri!K46)</f>
        <v/>
      </c>
      <c r="E53" s="14">
        <f>IF($B53="","",veri!D46)</f>
        <v/>
      </c>
      <c r="F53" s="15">
        <f>IF($B53="","",veri!G46)</f>
        <v/>
      </c>
      <c r="G53" s="15">
        <f>IF($B53="","",veri!H46)</f>
        <v/>
      </c>
      <c r="H53" s="16">
        <f>IF($B53="","",IF(OR(E53&gt;F53,E53&lt;G53),"KD",""))</f>
        <v/>
      </c>
    </row>
    <row r="54">
      <c r="A54" s="12" t="n">
        <v>46</v>
      </c>
      <c r="B54" s="13" t="n"/>
      <c r="C54" s="13" t="n"/>
      <c r="D54" s="14">
        <f>IF($B54="","",veri!K47)</f>
        <v/>
      </c>
      <c r="E54" s="14">
        <f>IF($B54="","",veri!D47)</f>
        <v/>
      </c>
      <c r="F54" s="15">
        <f>IF($B54="","",veri!G47)</f>
        <v/>
      </c>
      <c r="G54" s="15">
        <f>IF($B54="","",veri!H47)</f>
        <v/>
      </c>
      <c r="H54" s="16">
        <f>IF($B54="","",IF(OR(E54&gt;F54,E54&lt;G54),"KD",""))</f>
        <v/>
      </c>
    </row>
    <row r="55">
      <c r="A55" s="12" t="n">
        <v>47</v>
      </c>
      <c r="B55" s="13" t="n"/>
      <c r="C55" s="13" t="n"/>
      <c r="D55" s="14">
        <f>IF($B55="","",veri!K48)</f>
        <v/>
      </c>
      <c r="E55" s="14">
        <f>IF($B55="","",veri!D48)</f>
        <v/>
      </c>
      <c r="F55" s="15">
        <f>IF($B55="","",veri!G48)</f>
        <v/>
      </c>
      <c r="G55" s="15">
        <f>IF($B55="","",veri!H48)</f>
        <v/>
      </c>
      <c r="H55" s="16">
        <f>IF($B55="","",IF(OR(E55&gt;F55,E55&lt;G55),"KD",""))</f>
        <v/>
      </c>
    </row>
    <row r="56">
      <c r="A56" s="12" t="n">
        <v>48</v>
      </c>
      <c r="B56" s="13" t="n"/>
      <c r="C56" s="13" t="n"/>
      <c r="D56" s="14">
        <f>IF($B56="","",veri!K49)</f>
        <v/>
      </c>
      <c r="E56" s="14">
        <f>IF($B56="","",veri!D49)</f>
        <v/>
      </c>
      <c r="F56" s="15">
        <f>IF($B56="","",veri!G49)</f>
        <v/>
      </c>
      <c r="G56" s="15">
        <f>IF($B56="","",veri!H49)</f>
        <v/>
      </c>
      <c r="H56" s="16">
        <f>IF($B56="","",IF(OR(E56&gt;F56,E56&lt;G56),"KD",""))</f>
        <v/>
      </c>
    </row>
    <row r="57">
      <c r="A57" s="12" t="n">
        <v>49</v>
      </c>
      <c r="B57" s="13" t="n"/>
      <c r="C57" s="13" t="n"/>
      <c r="D57" s="14">
        <f>IF($B57="","",veri!K50)</f>
        <v/>
      </c>
      <c r="E57" s="14">
        <f>IF($B57="","",veri!D50)</f>
        <v/>
      </c>
      <c r="F57" s="15">
        <f>IF($B57="","",veri!G50)</f>
        <v/>
      </c>
      <c r="G57" s="15">
        <f>IF($B57="","",veri!H50)</f>
        <v/>
      </c>
      <c r="H57" s="16">
        <f>IF($B57="","",IF(OR(E57&gt;F57,E57&lt;G57),"KD",""))</f>
        <v/>
      </c>
    </row>
    <row r="58">
      <c r="A58" s="12" t="n">
        <v>50</v>
      </c>
      <c r="B58" s="13" t="n"/>
      <c r="C58" s="13" t="n"/>
      <c r="D58" s="14">
        <f>IF($B58="","",veri!K51)</f>
        <v/>
      </c>
      <c r="E58" s="14">
        <f>IF($B58="","",veri!D51)</f>
        <v/>
      </c>
      <c r="F58" s="15">
        <f>IF($B58="","",veri!G51)</f>
        <v/>
      </c>
      <c r="G58" s="15">
        <f>IF($B58="","",veri!H51)</f>
        <v/>
      </c>
      <c r="H58" s="16">
        <f>IF($B58="","",IF(OR(E58&gt;F58,E58&lt;G58),"KD",""))</f>
        <v/>
      </c>
    </row>
  </sheetData>
  <mergeCells count="67">
    <mergeCell ref="J1:AJ5"/>
    <mergeCell ref="N20:R20"/>
    <mergeCell ref="AN1:AS1"/>
    <mergeCell ref="J22:M22"/>
    <mergeCell ref="J24:R24"/>
    <mergeCell ref="N26:R26"/>
    <mergeCell ref="J31:M31"/>
    <mergeCell ref="N11:R11"/>
    <mergeCell ref="N25:R25"/>
    <mergeCell ref="J12:M12"/>
    <mergeCell ref="N16:R16"/>
    <mergeCell ref="N32:R32"/>
    <mergeCell ref="J21:M21"/>
    <mergeCell ref="N22:R22"/>
    <mergeCell ref="J35:R35"/>
    <mergeCell ref="J33:M33"/>
    <mergeCell ref="N37:R37"/>
    <mergeCell ref="N36:R36"/>
    <mergeCell ref="N27:R27"/>
    <mergeCell ref="N12:R12"/>
    <mergeCell ref="AK1:AM1"/>
    <mergeCell ref="A7:H7"/>
    <mergeCell ref="J7:R7"/>
    <mergeCell ref="AN2:AS2"/>
    <mergeCell ref="J17:M17"/>
    <mergeCell ref="J8:M8"/>
    <mergeCell ref="N21:R21"/>
    <mergeCell ref="N33:R33"/>
    <mergeCell ref="A1:H5"/>
    <mergeCell ref="J38:M38"/>
    <mergeCell ref="J14:M14"/>
    <mergeCell ref="J29:M29"/>
    <mergeCell ref="N14:R14"/>
    <mergeCell ref="J37:M37"/>
    <mergeCell ref="N8:R8"/>
    <mergeCell ref="J10:M10"/>
    <mergeCell ref="J28:M28"/>
    <mergeCell ref="AK2:AM2"/>
    <mergeCell ref="J13:M13"/>
    <mergeCell ref="N17:R17"/>
    <mergeCell ref="J42:R42"/>
    <mergeCell ref="J9:M9"/>
    <mergeCell ref="N29:R29"/>
    <mergeCell ref="N38:R38"/>
    <mergeCell ref="N10:R10"/>
    <mergeCell ref="N28:R28"/>
    <mergeCell ref="J30:M30"/>
    <mergeCell ref="N13:R13"/>
    <mergeCell ref="J15:M15"/>
    <mergeCell ref="AN3:AS3"/>
    <mergeCell ref="J27:M27"/>
    <mergeCell ref="N31:R31"/>
    <mergeCell ref="J36:M36"/>
    <mergeCell ref="N9:R9"/>
    <mergeCell ref="J26:M26"/>
    <mergeCell ref="N30:R30"/>
    <mergeCell ref="N15:R15"/>
    <mergeCell ref="J19:R19"/>
    <mergeCell ref="J11:M11"/>
    <mergeCell ref="AK4:AM4"/>
    <mergeCell ref="J20:M20"/>
    <mergeCell ref="J40:R40"/>
    <mergeCell ref="J16:M16"/>
    <mergeCell ref="AK3:AM3"/>
    <mergeCell ref="J32:M32"/>
    <mergeCell ref="J25:M25"/>
    <mergeCell ref="AN4:AS4"/>
  </mergeCells>
  <conditionalFormatting sqref="J40:R40">
    <cfRule type="expression" priority="1" dxfId="0" stopIfTrue="1">
      <formula>ISNUMBER(SEARCH("YETERLİ",$J$40))</formula>
    </cfRule>
    <cfRule type="expression" priority="2" dxfId="1" stopIfTrue="1">
      <formula>ISNUMBER(SEARCH("ŞARTLI",$J$40))</formula>
    </cfRule>
    <cfRule type="expression" priority="3" dxfId="2" stopIfTrue="1">
      <formula>OR(ISNUMBER(SEARCH("YETERSİZ",$J$40)),ISNUMBER(SEARCH("KARARSIZ",$J$40)))</formula>
    </cfRule>
  </conditionalFormatting>
  <conditionalFormatting sqref="H9:H58">
    <cfRule type="expression" priority="4" dxfId="2">
      <formula>$H9="KD"</formula>
    </cfRule>
  </conditionalFormatting>
  <dataValidations count="1">
    <dataValidation sqref="N16" showDropDown="0" showInputMessage="1" showErrorMessage="0" allowBlank="0" promptTitle="Kart türü" prompt="p: kusurlu oranı · np: kusurlu adedi (sabit n) · u: birim başına hata · c: hata adedi (sabit birim)" type="list">
      <formula1>"p,np,u,c"</formula1>
    </dataValidation>
  </dataValidation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n</t>
        </is>
      </c>
      <c r="C1" t="inlineStr">
        <is>
          <t>x</t>
        </is>
      </c>
      <c r="D1" t="inlineStr">
        <is>
          <t>kart değeri</t>
        </is>
      </c>
      <c r="E1" t="inlineStr">
        <is>
          <t>CL</t>
        </is>
      </c>
      <c r="F1" t="inlineStr">
        <is>
          <t>sigma</t>
        </is>
      </c>
      <c r="G1" t="inlineStr">
        <is>
          <t>UCL</t>
        </is>
      </c>
      <c r="H1" t="inlineStr">
        <is>
          <t>LCL</t>
        </is>
      </c>
      <c r="I1" t="inlineStr">
        <is>
          <t>kümülatif</t>
        </is>
      </c>
      <c r="J1" t="inlineStr">
        <is>
          <t>nihai</t>
        </is>
      </c>
      <c r="K1" t="inlineStr">
        <is>
          <t>oran</t>
        </is>
      </c>
      <c r="M1" t="inlineStr">
        <is>
          <t>kutu orta</t>
        </is>
      </c>
      <c r="N1" t="inlineStr">
        <is>
          <t>adet</t>
        </is>
      </c>
      <c r="Y1" t="inlineStr">
        <is>
          <t>kart no</t>
        </is>
      </c>
      <c r="Z1">
        <f>IFERROR(MATCH(Yeterlilik!$N$16,{"p","np","u","c"},0),1)</f>
        <v/>
      </c>
    </row>
    <row r="2">
      <c r="A2">
        <f>IF(OR(Yeterlilik!$B9="",Yeterlilik!$C9=""),NA(),1)</f>
        <v/>
      </c>
      <c r="B2">
        <f>IF(OR(Yeterlilik!$B9="",Yeterlilik!$C9=""),NA(),Yeterlilik!$B9)</f>
        <v/>
      </c>
      <c r="C2">
        <f>IF(OR(Yeterlilik!$B9="",Yeterlilik!$C9=""),NA(),Yeterlilik!$C9)</f>
        <v/>
      </c>
      <c r="D2">
        <f>IF(OR(Yeterlilik!$B9="",Yeterlilik!$C9=""),NA(),CHOOSE($Z$1,C2/B2*100,C2,C2/B2,C2))</f>
        <v/>
      </c>
      <c r="E2">
        <f>IF(OR(Yeterlilik!$B9="",Yeterlilik!$C9=""),NA(),CHOOSE($Z$1,$Z$2*100,B2*$Z$2,$Z$2,B2*$Z$2))</f>
        <v/>
      </c>
      <c r="F2">
        <f>IF(OR(Yeterlilik!$B9="",Yeterlilik!$C9=""),NA(),CHOOSE($Z$1,SQRT($Z$2*(1-$Z$2)/B2)*100,SQRT(B2*$Z$2*(1-$Z$2)),SQRT($Z$2/B2),SQRT(B2*$Z$2)))</f>
        <v/>
      </c>
      <c r="G2">
        <f>IF(OR(Yeterlilik!$B9="",Yeterlilik!$C9=""),NA(),E2+3*F2)</f>
        <v/>
      </c>
      <c r="H2">
        <f>IF(OR(Yeterlilik!$B9="",Yeterlilik!$C9=""),NA(),MAX(0,E2-3*F2))</f>
        <v/>
      </c>
      <c r="I2">
        <f>IF(OR(Yeterlilik!$B9="",Yeterlilik!$C9=""),NA(),SUM(Yeterlilik!$C$9:$C9)/SUM(Yeterlilik!$B$9:$B9)*IF($Z$3,100,1))</f>
        <v/>
      </c>
      <c r="J2">
        <f>IF(OR(Yeterlilik!$B9="",Yeterlilik!$C9=""),NA(),$Z$2*IF($Z$3,100,1))</f>
        <v/>
      </c>
      <c r="K2">
        <f>IF(OR(Yeterlilik!$B9="",Yeterlilik!$C9=""),NA(),C2/B2*IF($Z$3,100,1))</f>
        <v/>
      </c>
      <c r="M2">
        <f>$Z$4+(0+0.5)*$Z$5</f>
        <v/>
      </c>
      <c r="N2">
        <f>COUNTIFS($K$2:$K$51,"&gt;="&amp;($Z$4+0*$Z$5),$K$2:$K$51,"&lt;"&amp;($Z$4+1*$Z$5))</f>
        <v/>
      </c>
      <c r="Y2" t="inlineStr">
        <is>
          <t>oran</t>
        </is>
      </c>
      <c r="Z2">
        <f>IF(Yeterlilik!$N$27="",0,Yeterlilik!$N$27)</f>
        <v/>
      </c>
    </row>
    <row r="3">
      <c r="A3">
        <f>IF(OR(Yeterlilik!$B10="",Yeterlilik!$C10=""),NA(),2)</f>
        <v/>
      </c>
      <c r="B3">
        <f>IF(OR(Yeterlilik!$B10="",Yeterlilik!$C10=""),NA(),Yeterlilik!$B10)</f>
        <v/>
      </c>
      <c r="C3">
        <f>IF(OR(Yeterlilik!$B10="",Yeterlilik!$C10=""),NA(),Yeterlilik!$C10)</f>
        <v/>
      </c>
      <c r="D3">
        <f>IF(OR(Yeterlilik!$B10="",Yeterlilik!$C10=""),NA(),CHOOSE($Z$1,C3/B3*100,C3,C3/B3,C3))</f>
        <v/>
      </c>
      <c r="E3">
        <f>IF(OR(Yeterlilik!$B10="",Yeterlilik!$C10=""),NA(),CHOOSE($Z$1,$Z$2*100,B3*$Z$2,$Z$2,B3*$Z$2))</f>
        <v/>
      </c>
      <c r="F3">
        <f>IF(OR(Yeterlilik!$B10="",Yeterlilik!$C10=""),NA(),CHOOSE($Z$1,SQRT($Z$2*(1-$Z$2)/B3)*100,SQRT(B3*$Z$2*(1-$Z$2)),SQRT($Z$2/B3),SQRT(B3*$Z$2)))</f>
        <v/>
      </c>
      <c r="G3">
        <f>IF(OR(Yeterlilik!$B10="",Yeterlilik!$C10=""),NA(),E3+3*F3)</f>
        <v/>
      </c>
      <c r="H3">
        <f>IF(OR(Yeterlilik!$B10="",Yeterlilik!$C10=""),NA(),MAX(0,E3-3*F3))</f>
        <v/>
      </c>
      <c r="I3">
        <f>IF(OR(Yeterlilik!$B10="",Yeterlilik!$C10=""),NA(),SUM(Yeterlilik!$C$9:$C10)/SUM(Yeterlilik!$B$9:$B10)*IF($Z$3,100,1))</f>
        <v/>
      </c>
      <c r="J3">
        <f>IF(OR(Yeterlilik!$B10="",Yeterlilik!$C10=""),NA(),$Z$2*IF($Z$3,100,1))</f>
        <v/>
      </c>
      <c r="K3">
        <f>IF(OR(Yeterlilik!$B10="",Yeterlilik!$C10=""),NA(),C3/B3*IF($Z$3,100,1))</f>
        <v/>
      </c>
      <c r="M3">
        <f>$Z$4+(1+0.5)*$Z$5</f>
        <v/>
      </c>
      <c r="N3">
        <f>COUNTIFS($K$2:$K$51,"&gt;="&amp;($Z$4+1*$Z$5),$K$2:$K$51,"&lt;"&amp;($Z$4+2*$Z$5))</f>
        <v/>
      </c>
      <c r="Y3" t="inlineStr">
        <is>
          <t>binom</t>
        </is>
      </c>
      <c r="Z3">
        <f>$Z$1&lt;=2</f>
        <v/>
      </c>
    </row>
    <row r="4">
      <c r="A4">
        <f>IF(OR(Yeterlilik!$B11="",Yeterlilik!$C11=""),NA(),3)</f>
        <v/>
      </c>
      <c r="B4">
        <f>IF(OR(Yeterlilik!$B11="",Yeterlilik!$C11=""),NA(),Yeterlilik!$B11)</f>
        <v/>
      </c>
      <c r="C4">
        <f>IF(OR(Yeterlilik!$B11="",Yeterlilik!$C11=""),NA(),Yeterlilik!$C11)</f>
        <v/>
      </c>
      <c r="D4">
        <f>IF(OR(Yeterlilik!$B11="",Yeterlilik!$C11=""),NA(),CHOOSE($Z$1,C4/B4*100,C4,C4/B4,C4))</f>
        <v/>
      </c>
      <c r="E4">
        <f>IF(OR(Yeterlilik!$B11="",Yeterlilik!$C11=""),NA(),CHOOSE($Z$1,$Z$2*100,B4*$Z$2,$Z$2,B4*$Z$2))</f>
        <v/>
      </c>
      <c r="F4">
        <f>IF(OR(Yeterlilik!$B11="",Yeterlilik!$C11=""),NA(),CHOOSE($Z$1,SQRT($Z$2*(1-$Z$2)/B4)*100,SQRT(B4*$Z$2*(1-$Z$2)),SQRT($Z$2/B4),SQRT(B4*$Z$2)))</f>
        <v/>
      </c>
      <c r="G4">
        <f>IF(OR(Yeterlilik!$B11="",Yeterlilik!$C11=""),NA(),E4+3*F4)</f>
        <v/>
      </c>
      <c r="H4">
        <f>IF(OR(Yeterlilik!$B11="",Yeterlilik!$C11=""),NA(),MAX(0,E4-3*F4))</f>
        <v/>
      </c>
      <c r="I4">
        <f>IF(OR(Yeterlilik!$B11="",Yeterlilik!$C11=""),NA(),SUM(Yeterlilik!$C$9:$C11)/SUM(Yeterlilik!$B$9:$B11)*IF($Z$3,100,1))</f>
        <v/>
      </c>
      <c r="J4">
        <f>IF(OR(Yeterlilik!$B11="",Yeterlilik!$C11=""),NA(),$Z$2*IF($Z$3,100,1))</f>
        <v/>
      </c>
      <c r="K4">
        <f>IF(OR(Yeterlilik!$B11="",Yeterlilik!$C11=""),NA(),C4/B4*IF($Z$3,100,1))</f>
        <v/>
      </c>
      <c r="M4">
        <f>$Z$4+(2+0.5)*$Z$5</f>
        <v/>
      </c>
      <c r="N4">
        <f>COUNTIFS($K$2:$K$51,"&gt;="&amp;($Z$4+2*$Z$5),$K$2:$K$51,"&lt;"&amp;($Z$4+3*$Z$5))</f>
        <v/>
      </c>
      <c r="Y4" t="inlineStr">
        <is>
          <t>hist alt</t>
        </is>
      </c>
      <c r="Z4">
        <f>IFERROR(_xlfn.AGGREGATE(5,6,$K$2:$K$51),0)</f>
        <v/>
      </c>
    </row>
    <row r="5">
      <c r="A5">
        <f>IF(OR(Yeterlilik!$B12="",Yeterlilik!$C12=""),NA(),4)</f>
        <v/>
      </c>
      <c r="B5">
        <f>IF(OR(Yeterlilik!$B12="",Yeterlilik!$C12=""),NA(),Yeterlilik!$B12)</f>
        <v/>
      </c>
      <c r="C5">
        <f>IF(OR(Yeterlilik!$B12="",Yeterlilik!$C12=""),NA(),Yeterlilik!$C12)</f>
        <v/>
      </c>
      <c r="D5">
        <f>IF(OR(Yeterlilik!$B12="",Yeterlilik!$C12=""),NA(),CHOOSE($Z$1,C5/B5*100,C5,C5/B5,C5))</f>
        <v/>
      </c>
      <c r="E5">
        <f>IF(OR(Yeterlilik!$B12="",Yeterlilik!$C12=""),NA(),CHOOSE($Z$1,$Z$2*100,B5*$Z$2,$Z$2,B5*$Z$2))</f>
        <v/>
      </c>
      <c r="F5">
        <f>IF(OR(Yeterlilik!$B12="",Yeterlilik!$C12=""),NA(),CHOOSE($Z$1,SQRT($Z$2*(1-$Z$2)/B5)*100,SQRT(B5*$Z$2*(1-$Z$2)),SQRT($Z$2/B5),SQRT(B5*$Z$2)))</f>
        <v/>
      </c>
      <c r="G5">
        <f>IF(OR(Yeterlilik!$B12="",Yeterlilik!$C12=""),NA(),E5+3*F5)</f>
        <v/>
      </c>
      <c r="H5">
        <f>IF(OR(Yeterlilik!$B12="",Yeterlilik!$C12=""),NA(),MAX(0,E5-3*F5))</f>
        <v/>
      </c>
      <c r="I5">
        <f>IF(OR(Yeterlilik!$B12="",Yeterlilik!$C12=""),NA(),SUM(Yeterlilik!$C$9:$C12)/SUM(Yeterlilik!$B$9:$B12)*IF($Z$3,100,1))</f>
        <v/>
      </c>
      <c r="J5">
        <f>IF(OR(Yeterlilik!$B12="",Yeterlilik!$C12=""),NA(),$Z$2*IF($Z$3,100,1))</f>
        <v/>
      </c>
      <c r="K5">
        <f>IF(OR(Yeterlilik!$B12="",Yeterlilik!$C12=""),NA(),C5/B5*IF($Z$3,100,1))</f>
        <v/>
      </c>
      <c r="M5">
        <f>$Z$4+(3+0.5)*$Z$5</f>
        <v/>
      </c>
      <c r="N5">
        <f>COUNTIFS($K$2:$K$51,"&gt;="&amp;($Z$4+3*$Z$5),$K$2:$K$51,"&lt;"&amp;($Z$4+4*$Z$5))</f>
        <v/>
      </c>
      <c r="Y5" t="inlineStr">
        <is>
          <t>hist adım</t>
        </is>
      </c>
      <c r="Z5">
        <f>IFERROR(IF(_xlfn.AGGREGATE(4,6,$K$2:$K$51)&gt;$Z$4,(_xlfn.AGGREGATE(4,6,$K$2:$K$51)-$Z$4)/10,1),1)</f>
        <v/>
      </c>
    </row>
    <row r="6">
      <c r="A6">
        <f>IF(OR(Yeterlilik!$B13="",Yeterlilik!$C13=""),NA(),5)</f>
        <v/>
      </c>
      <c r="B6">
        <f>IF(OR(Yeterlilik!$B13="",Yeterlilik!$C13=""),NA(),Yeterlilik!$B13)</f>
        <v/>
      </c>
      <c r="C6">
        <f>IF(OR(Yeterlilik!$B13="",Yeterlilik!$C13=""),NA(),Yeterlilik!$C13)</f>
        <v/>
      </c>
      <c r="D6">
        <f>IF(OR(Yeterlilik!$B13="",Yeterlilik!$C13=""),NA(),CHOOSE($Z$1,C6/B6*100,C6,C6/B6,C6))</f>
        <v/>
      </c>
      <c r="E6">
        <f>IF(OR(Yeterlilik!$B13="",Yeterlilik!$C13=""),NA(),CHOOSE($Z$1,$Z$2*100,B6*$Z$2,$Z$2,B6*$Z$2))</f>
        <v/>
      </c>
      <c r="F6">
        <f>IF(OR(Yeterlilik!$B13="",Yeterlilik!$C13=""),NA(),CHOOSE($Z$1,SQRT($Z$2*(1-$Z$2)/B6)*100,SQRT(B6*$Z$2*(1-$Z$2)),SQRT($Z$2/B6),SQRT(B6*$Z$2)))</f>
        <v/>
      </c>
      <c r="G6">
        <f>IF(OR(Yeterlilik!$B13="",Yeterlilik!$C13=""),NA(),E6+3*F6)</f>
        <v/>
      </c>
      <c r="H6">
        <f>IF(OR(Yeterlilik!$B13="",Yeterlilik!$C13=""),NA(),MAX(0,E6-3*F6))</f>
        <v/>
      </c>
      <c r="I6">
        <f>IF(OR(Yeterlilik!$B13="",Yeterlilik!$C13=""),NA(),SUM(Yeterlilik!$C$9:$C13)/SUM(Yeterlilik!$B$9:$B13)*IF($Z$3,100,1))</f>
        <v/>
      </c>
      <c r="J6">
        <f>IF(OR(Yeterlilik!$B13="",Yeterlilik!$C13=""),NA(),$Z$2*IF($Z$3,100,1))</f>
        <v/>
      </c>
      <c r="K6">
        <f>IF(OR(Yeterlilik!$B13="",Yeterlilik!$C13=""),NA(),C6/B6*IF($Z$3,100,1))</f>
        <v/>
      </c>
      <c r="M6">
        <f>$Z$4+(4+0.5)*$Z$5</f>
        <v/>
      </c>
      <c r="N6">
        <f>COUNTIFS($K$2:$K$51,"&gt;="&amp;($Z$4+4*$Z$5),$K$2:$K$51,"&lt;"&amp;($Z$4+5*$Z$5))</f>
        <v/>
      </c>
    </row>
    <row r="7">
      <c r="A7">
        <f>IF(OR(Yeterlilik!$B14="",Yeterlilik!$C14=""),NA(),6)</f>
        <v/>
      </c>
      <c r="B7">
        <f>IF(OR(Yeterlilik!$B14="",Yeterlilik!$C14=""),NA(),Yeterlilik!$B14)</f>
        <v/>
      </c>
      <c r="C7">
        <f>IF(OR(Yeterlilik!$B14="",Yeterlilik!$C14=""),NA(),Yeterlilik!$C14)</f>
        <v/>
      </c>
      <c r="D7">
        <f>IF(OR(Yeterlilik!$B14="",Yeterlilik!$C14=""),NA(),CHOOSE($Z$1,C7/B7*100,C7,C7/B7,C7))</f>
        <v/>
      </c>
      <c r="E7">
        <f>IF(OR(Yeterlilik!$B14="",Yeterlilik!$C14=""),NA(),CHOOSE($Z$1,$Z$2*100,B7*$Z$2,$Z$2,B7*$Z$2))</f>
        <v/>
      </c>
      <c r="F7">
        <f>IF(OR(Yeterlilik!$B14="",Yeterlilik!$C14=""),NA(),CHOOSE($Z$1,SQRT($Z$2*(1-$Z$2)/B7)*100,SQRT(B7*$Z$2*(1-$Z$2)),SQRT($Z$2/B7),SQRT(B7*$Z$2)))</f>
        <v/>
      </c>
      <c r="G7">
        <f>IF(OR(Yeterlilik!$B14="",Yeterlilik!$C14=""),NA(),E7+3*F7)</f>
        <v/>
      </c>
      <c r="H7">
        <f>IF(OR(Yeterlilik!$B14="",Yeterlilik!$C14=""),NA(),MAX(0,E7-3*F7))</f>
        <v/>
      </c>
      <c r="I7">
        <f>IF(OR(Yeterlilik!$B14="",Yeterlilik!$C14=""),NA(),SUM(Yeterlilik!$C$9:$C14)/SUM(Yeterlilik!$B$9:$B14)*IF($Z$3,100,1))</f>
        <v/>
      </c>
      <c r="J7">
        <f>IF(OR(Yeterlilik!$B14="",Yeterlilik!$C14=""),NA(),$Z$2*IF($Z$3,100,1))</f>
        <v/>
      </c>
      <c r="K7">
        <f>IF(OR(Yeterlilik!$B14="",Yeterlilik!$C14=""),NA(),C7/B7*IF($Z$3,100,1))</f>
        <v/>
      </c>
      <c r="M7">
        <f>$Z$4+(5+0.5)*$Z$5</f>
        <v/>
      </c>
      <c r="N7">
        <f>COUNTIFS($K$2:$K$51,"&gt;="&amp;($Z$4+5*$Z$5),$K$2:$K$51,"&lt;"&amp;($Z$4+6*$Z$5))</f>
        <v/>
      </c>
    </row>
    <row r="8">
      <c r="A8">
        <f>IF(OR(Yeterlilik!$B15="",Yeterlilik!$C15=""),NA(),7)</f>
        <v/>
      </c>
      <c r="B8">
        <f>IF(OR(Yeterlilik!$B15="",Yeterlilik!$C15=""),NA(),Yeterlilik!$B15)</f>
        <v/>
      </c>
      <c r="C8">
        <f>IF(OR(Yeterlilik!$B15="",Yeterlilik!$C15=""),NA(),Yeterlilik!$C15)</f>
        <v/>
      </c>
      <c r="D8">
        <f>IF(OR(Yeterlilik!$B15="",Yeterlilik!$C15=""),NA(),CHOOSE($Z$1,C8/B8*100,C8,C8/B8,C8))</f>
        <v/>
      </c>
      <c r="E8">
        <f>IF(OR(Yeterlilik!$B15="",Yeterlilik!$C15=""),NA(),CHOOSE($Z$1,$Z$2*100,B8*$Z$2,$Z$2,B8*$Z$2))</f>
        <v/>
      </c>
      <c r="F8">
        <f>IF(OR(Yeterlilik!$B15="",Yeterlilik!$C15=""),NA(),CHOOSE($Z$1,SQRT($Z$2*(1-$Z$2)/B8)*100,SQRT(B8*$Z$2*(1-$Z$2)),SQRT($Z$2/B8),SQRT(B8*$Z$2)))</f>
        <v/>
      </c>
      <c r="G8">
        <f>IF(OR(Yeterlilik!$B15="",Yeterlilik!$C15=""),NA(),E8+3*F8)</f>
        <v/>
      </c>
      <c r="H8">
        <f>IF(OR(Yeterlilik!$B15="",Yeterlilik!$C15=""),NA(),MAX(0,E8-3*F8))</f>
        <v/>
      </c>
      <c r="I8">
        <f>IF(OR(Yeterlilik!$B15="",Yeterlilik!$C15=""),NA(),SUM(Yeterlilik!$C$9:$C15)/SUM(Yeterlilik!$B$9:$B15)*IF($Z$3,100,1))</f>
        <v/>
      </c>
      <c r="J8">
        <f>IF(OR(Yeterlilik!$B15="",Yeterlilik!$C15=""),NA(),$Z$2*IF($Z$3,100,1))</f>
        <v/>
      </c>
      <c r="K8">
        <f>IF(OR(Yeterlilik!$B15="",Yeterlilik!$C15=""),NA(),C8/B8*IF($Z$3,100,1))</f>
        <v/>
      </c>
      <c r="M8">
        <f>$Z$4+(6+0.5)*$Z$5</f>
        <v/>
      </c>
      <c r="N8">
        <f>COUNTIFS($K$2:$K$51,"&gt;="&amp;($Z$4+6*$Z$5),$K$2:$K$51,"&lt;"&amp;($Z$4+7*$Z$5))</f>
        <v/>
      </c>
    </row>
    <row r="9">
      <c r="A9">
        <f>IF(OR(Yeterlilik!$B16="",Yeterlilik!$C16=""),NA(),8)</f>
        <v/>
      </c>
      <c r="B9">
        <f>IF(OR(Yeterlilik!$B16="",Yeterlilik!$C16=""),NA(),Yeterlilik!$B16)</f>
        <v/>
      </c>
      <c r="C9">
        <f>IF(OR(Yeterlilik!$B16="",Yeterlilik!$C16=""),NA(),Yeterlilik!$C16)</f>
        <v/>
      </c>
      <c r="D9">
        <f>IF(OR(Yeterlilik!$B16="",Yeterlilik!$C16=""),NA(),CHOOSE($Z$1,C9/B9*100,C9,C9/B9,C9))</f>
        <v/>
      </c>
      <c r="E9">
        <f>IF(OR(Yeterlilik!$B16="",Yeterlilik!$C16=""),NA(),CHOOSE($Z$1,$Z$2*100,B9*$Z$2,$Z$2,B9*$Z$2))</f>
        <v/>
      </c>
      <c r="F9">
        <f>IF(OR(Yeterlilik!$B16="",Yeterlilik!$C16=""),NA(),CHOOSE($Z$1,SQRT($Z$2*(1-$Z$2)/B9)*100,SQRT(B9*$Z$2*(1-$Z$2)),SQRT($Z$2/B9),SQRT(B9*$Z$2)))</f>
        <v/>
      </c>
      <c r="G9">
        <f>IF(OR(Yeterlilik!$B16="",Yeterlilik!$C16=""),NA(),E9+3*F9)</f>
        <v/>
      </c>
      <c r="H9">
        <f>IF(OR(Yeterlilik!$B16="",Yeterlilik!$C16=""),NA(),MAX(0,E9-3*F9))</f>
        <v/>
      </c>
      <c r="I9">
        <f>IF(OR(Yeterlilik!$B16="",Yeterlilik!$C16=""),NA(),SUM(Yeterlilik!$C$9:$C16)/SUM(Yeterlilik!$B$9:$B16)*IF($Z$3,100,1))</f>
        <v/>
      </c>
      <c r="J9">
        <f>IF(OR(Yeterlilik!$B16="",Yeterlilik!$C16=""),NA(),$Z$2*IF($Z$3,100,1))</f>
        <v/>
      </c>
      <c r="K9">
        <f>IF(OR(Yeterlilik!$B16="",Yeterlilik!$C16=""),NA(),C9/B9*IF($Z$3,100,1))</f>
        <v/>
      </c>
      <c r="M9">
        <f>$Z$4+(7+0.5)*$Z$5</f>
        <v/>
      </c>
      <c r="N9">
        <f>COUNTIFS($K$2:$K$51,"&gt;="&amp;($Z$4+7*$Z$5),$K$2:$K$51,"&lt;"&amp;($Z$4+8*$Z$5))</f>
        <v/>
      </c>
    </row>
    <row r="10">
      <c r="A10">
        <f>IF(OR(Yeterlilik!$B17="",Yeterlilik!$C17=""),NA(),9)</f>
        <v/>
      </c>
      <c r="B10">
        <f>IF(OR(Yeterlilik!$B17="",Yeterlilik!$C17=""),NA(),Yeterlilik!$B17)</f>
        <v/>
      </c>
      <c r="C10">
        <f>IF(OR(Yeterlilik!$B17="",Yeterlilik!$C17=""),NA(),Yeterlilik!$C17)</f>
        <v/>
      </c>
      <c r="D10">
        <f>IF(OR(Yeterlilik!$B17="",Yeterlilik!$C17=""),NA(),CHOOSE($Z$1,C10/B10*100,C10,C10/B10,C10))</f>
        <v/>
      </c>
      <c r="E10">
        <f>IF(OR(Yeterlilik!$B17="",Yeterlilik!$C17=""),NA(),CHOOSE($Z$1,$Z$2*100,B10*$Z$2,$Z$2,B10*$Z$2))</f>
        <v/>
      </c>
      <c r="F10">
        <f>IF(OR(Yeterlilik!$B17="",Yeterlilik!$C17=""),NA(),CHOOSE($Z$1,SQRT($Z$2*(1-$Z$2)/B10)*100,SQRT(B10*$Z$2*(1-$Z$2)),SQRT($Z$2/B10),SQRT(B10*$Z$2)))</f>
        <v/>
      </c>
      <c r="G10">
        <f>IF(OR(Yeterlilik!$B17="",Yeterlilik!$C17=""),NA(),E10+3*F10)</f>
        <v/>
      </c>
      <c r="H10">
        <f>IF(OR(Yeterlilik!$B17="",Yeterlilik!$C17=""),NA(),MAX(0,E10-3*F10))</f>
        <v/>
      </c>
      <c r="I10">
        <f>IF(OR(Yeterlilik!$B17="",Yeterlilik!$C17=""),NA(),SUM(Yeterlilik!$C$9:$C17)/SUM(Yeterlilik!$B$9:$B17)*IF($Z$3,100,1))</f>
        <v/>
      </c>
      <c r="J10">
        <f>IF(OR(Yeterlilik!$B17="",Yeterlilik!$C17=""),NA(),$Z$2*IF($Z$3,100,1))</f>
        <v/>
      </c>
      <c r="K10">
        <f>IF(OR(Yeterlilik!$B17="",Yeterlilik!$C17=""),NA(),C10/B10*IF($Z$3,100,1))</f>
        <v/>
      </c>
      <c r="M10">
        <f>$Z$4+(8+0.5)*$Z$5</f>
        <v/>
      </c>
      <c r="N10">
        <f>COUNTIFS($K$2:$K$51,"&gt;="&amp;($Z$4+8*$Z$5),$K$2:$K$51,"&lt;"&amp;($Z$4+9*$Z$5))</f>
        <v/>
      </c>
    </row>
    <row r="11">
      <c r="A11">
        <f>IF(OR(Yeterlilik!$B18="",Yeterlilik!$C18=""),NA(),10)</f>
        <v/>
      </c>
      <c r="B11">
        <f>IF(OR(Yeterlilik!$B18="",Yeterlilik!$C18=""),NA(),Yeterlilik!$B18)</f>
        <v/>
      </c>
      <c r="C11">
        <f>IF(OR(Yeterlilik!$B18="",Yeterlilik!$C18=""),NA(),Yeterlilik!$C18)</f>
        <v/>
      </c>
      <c r="D11">
        <f>IF(OR(Yeterlilik!$B18="",Yeterlilik!$C18=""),NA(),CHOOSE($Z$1,C11/B11*100,C11,C11/B11,C11))</f>
        <v/>
      </c>
      <c r="E11">
        <f>IF(OR(Yeterlilik!$B18="",Yeterlilik!$C18=""),NA(),CHOOSE($Z$1,$Z$2*100,B11*$Z$2,$Z$2,B11*$Z$2))</f>
        <v/>
      </c>
      <c r="F11">
        <f>IF(OR(Yeterlilik!$B18="",Yeterlilik!$C18=""),NA(),CHOOSE($Z$1,SQRT($Z$2*(1-$Z$2)/B11)*100,SQRT(B11*$Z$2*(1-$Z$2)),SQRT($Z$2/B11),SQRT(B11*$Z$2)))</f>
        <v/>
      </c>
      <c r="G11">
        <f>IF(OR(Yeterlilik!$B18="",Yeterlilik!$C18=""),NA(),E11+3*F11)</f>
        <v/>
      </c>
      <c r="H11">
        <f>IF(OR(Yeterlilik!$B18="",Yeterlilik!$C18=""),NA(),MAX(0,E11-3*F11))</f>
        <v/>
      </c>
      <c r="I11">
        <f>IF(OR(Yeterlilik!$B18="",Yeterlilik!$C18=""),NA(),SUM(Yeterlilik!$C$9:$C18)/SUM(Yeterlilik!$B$9:$B18)*IF($Z$3,100,1))</f>
        <v/>
      </c>
      <c r="J11">
        <f>IF(OR(Yeterlilik!$B18="",Yeterlilik!$C18=""),NA(),$Z$2*IF($Z$3,100,1))</f>
        <v/>
      </c>
      <c r="K11">
        <f>IF(OR(Yeterlilik!$B18="",Yeterlilik!$C18=""),NA(),C11/B11*IF($Z$3,100,1))</f>
        <v/>
      </c>
      <c r="M11">
        <f>$Z$4+(9+0.5)*$Z$5</f>
        <v/>
      </c>
      <c r="N11">
        <f>COUNTIFS($K$2:$K$51,"&gt;="&amp;($Z$4+9*$Z$5),$K$2:$K$51,"&lt;="&amp;($Z$4+10*$Z$5))</f>
        <v/>
      </c>
    </row>
    <row r="12">
      <c r="A12">
        <f>IF(OR(Yeterlilik!$B19="",Yeterlilik!$C19=""),NA(),11)</f>
        <v/>
      </c>
      <c r="B12">
        <f>IF(OR(Yeterlilik!$B19="",Yeterlilik!$C19=""),NA(),Yeterlilik!$B19)</f>
        <v/>
      </c>
      <c r="C12">
        <f>IF(OR(Yeterlilik!$B19="",Yeterlilik!$C19=""),NA(),Yeterlilik!$C19)</f>
        <v/>
      </c>
      <c r="D12">
        <f>IF(OR(Yeterlilik!$B19="",Yeterlilik!$C19=""),NA(),CHOOSE($Z$1,C12/B12*100,C12,C12/B12,C12))</f>
        <v/>
      </c>
      <c r="E12">
        <f>IF(OR(Yeterlilik!$B19="",Yeterlilik!$C19=""),NA(),CHOOSE($Z$1,$Z$2*100,B12*$Z$2,$Z$2,B12*$Z$2))</f>
        <v/>
      </c>
      <c r="F12">
        <f>IF(OR(Yeterlilik!$B19="",Yeterlilik!$C19=""),NA(),CHOOSE($Z$1,SQRT($Z$2*(1-$Z$2)/B12)*100,SQRT(B12*$Z$2*(1-$Z$2)),SQRT($Z$2/B12),SQRT(B12*$Z$2)))</f>
        <v/>
      </c>
      <c r="G12">
        <f>IF(OR(Yeterlilik!$B19="",Yeterlilik!$C19=""),NA(),E12+3*F12)</f>
        <v/>
      </c>
      <c r="H12">
        <f>IF(OR(Yeterlilik!$B19="",Yeterlilik!$C19=""),NA(),MAX(0,E12-3*F12))</f>
        <v/>
      </c>
      <c r="I12">
        <f>IF(OR(Yeterlilik!$B19="",Yeterlilik!$C19=""),NA(),SUM(Yeterlilik!$C$9:$C19)/SUM(Yeterlilik!$B$9:$B19)*IF($Z$3,100,1))</f>
        <v/>
      </c>
      <c r="J12">
        <f>IF(OR(Yeterlilik!$B19="",Yeterlilik!$C19=""),NA(),$Z$2*IF($Z$3,100,1))</f>
        <v/>
      </c>
      <c r="K12">
        <f>IF(OR(Yeterlilik!$B19="",Yeterlilik!$C19=""),NA(),C12/B12*IF($Z$3,100,1))</f>
        <v/>
      </c>
    </row>
    <row r="13">
      <c r="A13">
        <f>IF(OR(Yeterlilik!$B20="",Yeterlilik!$C20=""),NA(),12)</f>
        <v/>
      </c>
      <c r="B13">
        <f>IF(OR(Yeterlilik!$B20="",Yeterlilik!$C20=""),NA(),Yeterlilik!$B20)</f>
        <v/>
      </c>
      <c r="C13">
        <f>IF(OR(Yeterlilik!$B20="",Yeterlilik!$C20=""),NA(),Yeterlilik!$C20)</f>
        <v/>
      </c>
      <c r="D13">
        <f>IF(OR(Yeterlilik!$B20="",Yeterlilik!$C20=""),NA(),CHOOSE($Z$1,C13/B13*100,C13,C13/B13,C13))</f>
        <v/>
      </c>
      <c r="E13">
        <f>IF(OR(Yeterlilik!$B20="",Yeterlilik!$C20=""),NA(),CHOOSE($Z$1,$Z$2*100,B13*$Z$2,$Z$2,B13*$Z$2))</f>
        <v/>
      </c>
      <c r="F13">
        <f>IF(OR(Yeterlilik!$B20="",Yeterlilik!$C20=""),NA(),CHOOSE($Z$1,SQRT($Z$2*(1-$Z$2)/B13)*100,SQRT(B13*$Z$2*(1-$Z$2)),SQRT($Z$2/B13),SQRT(B13*$Z$2)))</f>
        <v/>
      </c>
      <c r="G13">
        <f>IF(OR(Yeterlilik!$B20="",Yeterlilik!$C20=""),NA(),E13+3*F13)</f>
        <v/>
      </c>
      <c r="H13">
        <f>IF(OR(Yeterlilik!$B20="",Yeterlilik!$C20=""),NA(),MAX(0,E13-3*F13))</f>
        <v/>
      </c>
      <c r="I13">
        <f>IF(OR(Yeterlilik!$B20="",Yeterlilik!$C20=""),NA(),SUM(Yeterlilik!$C$9:$C20)/SUM(Yeterlilik!$B$9:$B20)*IF($Z$3,100,1))</f>
        <v/>
      </c>
      <c r="J13">
        <f>IF(OR(Yeterlilik!$B20="",Yeterlilik!$C20=""),NA(),$Z$2*IF($Z$3,100,1))</f>
        <v/>
      </c>
      <c r="K13">
        <f>IF(OR(Yeterlilik!$B20="",Yeterlilik!$C20=""),NA(),C13/B13*IF($Z$3,100,1))</f>
        <v/>
      </c>
    </row>
    <row r="14">
      <c r="A14">
        <f>IF(OR(Yeterlilik!$B21="",Yeterlilik!$C21=""),NA(),13)</f>
        <v/>
      </c>
      <c r="B14">
        <f>IF(OR(Yeterlilik!$B21="",Yeterlilik!$C21=""),NA(),Yeterlilik!$B21)</f>
        <v/>
      </c>
      <c r="C14">
        <f>IF(OR(Yeterlilik!$B21="",Yeterlilik!$C21=""),NA(),Yeterlilik!$C21)</f>
        <v/>
      </c>
      <c r="D14">
        <f>IF(OR(Yeterlilik!$B21="",Yeterlilik!$C21=""),NA(),CHOOSE($Z$1,C14/B14*100,C14,C14/B14,C14))</f>
        <v/>
      </c>
      <c r="E14">
        <f>IF(OR(Yeterlilik!$B21="",Yeterlilik!$C21=""),NA(),CHOOSE($Z$1,$Z$2*100,B14*$Z$2,$Z$2,B14*$Z$2))</f>
        <v/>
      </c>
      <c r="F14">
        <f>IF(OR(Yeterlilik!$B21="",Yeterlilik!$C21=""),NA(),CHOOSE($Z$1,SQRT($Z$2*(1-$Z$2)/B14)*100,SQRT(B14*$Z$2*(1-$Z$2)),SQRT($Z$2/B14),SQRT(B14*$Z$2)))</f>
        <v/>
      </c>
      <c r="G14">
        <f>IF(OR(Yeterlilik!$B21="",Yeterlilik!$C21=""),NA(),E14+3*F14)</f>
        <v/>
      </c>
      <c r="H14">
        <f>IF(OR(Yeterlilik!$B21="",Yeterlilik!$C21=""),NA(),MAX(0,E14-3*F14))</f>
        <v/>
      </c>
      <c r="I14">
        <f>IF(OR(Yeterlilik!$B21="",Yeterlilik!$C21=""),NA(),SUM(Yeterlilik!$C$9:$C21)/SUM(Yeterlilik!$B$9:$B21)*IF($Z$3,100,1))</f>
        <v/>
      </c>
      <c r="J14">
        <f>IF(OR(Yeterlilik!$B21="",Yeterlilik!$C21=""),NA(),$Z$2*IF($Z$3,100,1))</f>
        <v/>
      </c>
      <c r="K14">
        <f>IF(OR(Yeterlilik!$B21="",Yeterlilik!$C21=""),NA(),C14/B14*IF($Z$3,100,1))</f>
        <v/>
      </c>
    </row>
    <row r="15">
      <c r="A15">
        <f>IF(OR(Yeterlilik!$B22="",Yeterlilik!$C22=""),NA(),14)</f>
        <v/>
      </c>
      <c r="B15">
        <f>IF(OR(Yeterlilik!$B22="",Yeterlilik!$C22=""),NA(),Yeterlilik!$B22)</f>
        <v/>
      </c>
      <c r="C15">
        <f>IF(OR(Yeterlilik!$B22="",Yeterlilik!$C22=""),NA(),Yeterlilik!$C22)</f>
        <v/>
      </c>
      <c r="D15">
        <f>IF(OR(Yeterlilik!$B22="",Yeterlilik!$C22=""),NA(),CHOOSE($Z$1,C15/B15*100,C15,C15/B15,C15))</f>
        <v/>
      </c>
      <c r="E15">
        <f>IF(OR(Yeterlilik!$B22="",Yeterlilik!$C22=""),NA(),CHOOSE($Z$1,$Z$2*100,B15*$Z$2,$Z$2,B15*$Z$2))</f>
        <v/>
      </c>
      <c r="F15">
        <f>IF(OR(Yeterlilik!$B22="",Yeterlilik!$C22=""),NA(),CHOOSE($Z$1,SQRT($Z$2*(1-$Z$2)/B15)*100,SQRT(B15*$Z$2*(1-$Z$2)),SQRT($Z$2/B15),SQRT(B15*$Z$2)))</f>
        <v/>
      </c>
      <c r="G15">
        <f>IF(OR(Yeterlilik!$B22="",Yeterlilik!$C22=""),NA(),E15+3*F15)</f>
        <v/>
      </c>
      <c r="H15">
        <f>IF(OR(Yeterlilik!$B22="",Yeterlilik!$C22=""),NA(),MAX(0,E15-3*F15))</f>
        <v/>
      </c>
      <c r="I15">
        <f>IF(OR(Yeterlilik!$B22="",Yeterlilik!$C22=""),NA(),SUM(Yeterlilik!$C$9:$C22)/SUM(Yeterlilik!$B$9:$B22)*IF($Z$3,100,1))</f>
        <v/>
      </c>
      <c r="J15">
        <f>IF(OR(Yeterlilik!$B22="",Yeterlilik!$C22=""),NA(),$Z$2*IF($Z$3,100,1))</f>
        <v/>
      </c>
      <c r="K15">
        <f>IF(OR(Yeterlilik!$B22="",Yeterlilik!$C22=""),NA(),C15/B15*IF($Z$3,100,1))</f>
        <v/>
      </c>
    </row>
    <row r="16">
      <c r="A16">
        <f>IF(OR(Yeterlilik!$B23="",Yeterlilik!$C23=""),NA(),15)</f>
        <v/>
      </c>
      <c r="B16">
        <f>IF(OR(Yeterlilik!$B23="",Yeterlilik!$C23=""),NA(),Yeterlilik!$B23)</f>
        <v/>
      </c>
      <c r="C16">
        <f>IF(OR(Yeterlilik!$B23="",Yeterlilik!$C23=""),NA(),Yeterlilik!$C23)</f>
        <v/>
      </c>
      <c r="D16">
        <f>IF(OR(Yeterlilik!$B23="",Yeterlilik!$C23=""),NA(),CHOOSE($Z$1,C16/B16*100,C16,C16/B16,C16))</f>
        <v/>
      </c>
      <c r="E16">
        <f>IF(OR(Yeterlilik!$B23="",Yeterlilik!$C23=""),NA(),CHOOSE($Z$1,$Z$2*100,B16*$Z$2,$Z$2,B16*$Z$2))</f>
        <v/>
      </c>
      <c r="F16">
        <f>IF(OR(Yeterlilik!$B23="",Yeterlilik!$C23=""),NA(),CHOOSE($Z$1,SQRT($Z$2*(1-$Z$2)/B16)*100,SQRT(B16*$Z$2*(1-$Z$2)),SQRT($Z$2/B16),SQRT(B16*$Z$2)))</f>
        <v/>
      </c>
      <c r="G16">
        <f>IF(OR(Yeterlilik!$B23="",Yeterlilik!$C23=""),NA(),E16+3*F16)</f>
        <v/>
      </c>
      <c r="H16">
        <f>IF(OR(Yeterlilik!$B23="",Yeterlilik!$C23=""),NA(),MAX(0,E16-3*F16))</f>
        <v/>
      </c>
      <c r="I16">
        <f>IF(OR(Yeterlilik!$B23="",Yeterlilik!$C23=""),NA(),SUM(Yeterlilik!$C$9:$C23)/SUM(Yeterlilik!$B$9:$B23)*IF($Z$3,100,1))</f>
        <v/>
      </c>
      <c r="J16">
        <f>IF(OR(Yeterlilik!$B23="",Yeterlilik!$C23=""),NA(),$Z$2*IF($Z$3,100,1))</f>
        <v/>
      </c>
      <c r="K16">
        <f>IF(OR(Yeterlilik!$B23="",Yeterlilik!$C23=""),NA(),C16/B16*IF($Z$3,100,1))</f>
        <v/>
      </c>
    </row>
    <row r="17">
      <c r="A17">
        <f>IF(OR(Yeterlilik!$B24="",Yeterlilik!$C24=""),NA(),16)</f>
        <v/>
      </c>
      <c r="B17">
        <f>IF(OR(Yeterlilik!$B24="",Yeterlilik!$C24=""),NA(),Yeterlilik!$B24)</f>
        <v/>
      </c>
      <c r="C17">
        <f>IF(OR(Yeterlilik!$B24="",Yeterlilik!$C24=""),NA(),Yeterlilik!$C24)</f>
        <v/>
      </c>
      <c r="D17">
        <f>IF(OR(Yeterlilik!$B24="",Yeterlilik!$C24=""),NA(),CHOOSE($Z$1,C17/B17*100,C17,C17/B17,C17))</f>
        <v/>
      </c>
      <c r="E17">
        <f>IF(OR(Yeterlilik!$B24="",Yeterlilik!$C24=""),NA(),CHOOSE($Z$1,$Z$2*100,B17*$Z$2,$Z$2,B17*$Z$2))</f>
        <v/>
      </c>
      <c r="F17">
        <f>IF(OR(Yeterlilik!$B24="",Yeterlilik!$C24=""),NA(),CHOOSE($Z$1,SQRT($Z$2*(1-$Z$2)/B17)*100,SQRT(B17*$Z$2*(1-$Z$2)),SQRT($Z$2/B17),SQRT(B17*$Z$2)))</f>
        <v/>
      </c>
      <c r="G17">
        <f>IF(OR(Yeterlilik!$B24="",Yeterlilik!$C24=""),NA(),E17+3*F17)</f>
        <v/>
      </c>
      <c r="H17">
        <f>IF(OR(Yeterlilik!$B24="",Yeterlilik!$C24=""),NA(),MAX(0,E17-3*F17))</f>
        <v/>
      </c>
      <c r="I17">
        <f>IF(OR(Yeterlilik!$B24="",Yeterlilik!$C24=""),NA(),SUM(Yeterlilik!$C$9:$C24)/SUM(Yeterlilik!$B$9:$B24)*IF($Z$3,100,1))</f>
        <v/>
      </c>
      <c r="J17">
        <f>IF(OR(Yeterlilik!$B24="",Yeterlilik!$C24=""),NA(),$Z$2*IF($Z$3,100,1))</f>
        <v/>
      </c>
      <c r="K17">
        <f>IF(OR(Yeterlilik!$B24="",Yeterlilik!$C24=""),NA(),C17/B17*IF($Z$3,100,1))</f>
        <v/>
      </c>
    </row>
    <row r="18">
      <c r="A18">
        <f>IF(OR(Yeterlilik!$B25="",Yeterlilik!$C25=""),NA(),17)</f>
        <v/>
      </c>
      <c r="B18">
        <f>IF(OR(Yeterlilik!$B25="",Yeterlilik!$C25=""),NA(),Yeterlilik!$B25)</f>
        <v/>
      </c>
      <c r="C18">
        <f>IF(OR(Yeterlilik!$B25="",Yeterlilik!$C25=""),NA(),Yeterlilik!$C25)</f>
        <v/>
      </c>
      <c r="D18">
        <f>IF(OR(Yeterlilik!$B25="",Yeterlilik!$C25=""),NA(),CHOOSE($Z$1,C18/B18*100,C18,C18/B18,C18))</f>
        <v/>
      </c>
      <c r="E18">
        <f>IF(OR(Yeterlilik!$B25="",Yeterlilik!$C25=""),NA(),CHOOSE($Z$1,$Z$2*100,B18*$Z$2,$Z$2,B18*$Z$2))</f>
        <v/>
      </c>
      <c r="F18">
        <f>IF(OR(Yeterlilik!$B25="",Yeterlilik!$C25=""),NA(),CHOOSE($Z$1,SQRT($Z$2*(1-$Z$2)/B18)*100,SQRT(B18*$Z$2*(1-$Z$2)),SQRT($Z$2/B18),SQRT(B18*$Z$2)))</f>
        <v/>
      </c>
      <c r="G18">
        <f>IF(OR(Yeterlilik!$B25="",Yeterlilik!$C25=""),NA(),E18+3*F18)</f>
        <v/>
      </c>
      <c r="H18">
        <f>IF(OR(Yeterlilik!$B25="",Yeterlilik!$C25=""),NA(),MAX(0,E18-3*F18))</f>
        <v/>
      </c>
      <c r="I18">
        <f>IF(OR(Yeterlilik!$B25="",Yeterlilik!$C25=""),NA(),SUM(Yeterlilik!$C$9:$C25)/SUM(Yeterlilik!$B$9:$B25)*IF($Z$3,100,1))</f>
        <v/>
      </c>
      <c r="J18">
        <f>IF(OR(Yeterlilik!$B25="",Yeterlilik!$C25=""),NA(),$Z$2*IF($Z$3,100,1))</f>
        <v/>
      </c>
      <c r="K18">
        <f>IF(OR(Yeterlilik!$B25="",Yeterlilik!$C25=""),NA(),C18/B18*IF($Z$3,100,1))</f>
        <v/>
      </c>
    </row>
    <row r="19">
      <c r="A19">
        <f>IF(OR(Yeterlilik!$B26="",Yeterlilik!$C26=""),NA(),18)</f>
        <v/>
      </c>
      <c r="B19">
        <f>IF(OR(Yeterlilik!$B26="",Yeterlilik!$C26=""),NA(),Yeterlilik!$B26)</f>
        <v/>
      </c>
      <c r="C19">
        <f>IF(OR(Yeterlilik!$B26="",Yeterlilik!$C26=""),NA(),Yeterlilik!$C26)</f>
        <v/>
      </c>
      <c r="D19">
        <f>IF(OR(Yeterlilik!$B26="",Yeterlilik!$C26=""),NA(),CHOOSE($Z$1,C19/B19*100,C19,C19/B19,C19))</f>
        <v/>
      </c>
      <c r="E19">
        <f>IF(OR(Yeterlilik!$B26="",Yeterlilik!$C26=""),NA(),CHOOSE($Z$1,$Z$2*100,B19*$Z$2,$Z$2,B19*$Z$2))</f>
        <v/>
      </c>
      <c r="F19">
        <f>IF(OR(Yeterlilik!$B26="",Yeterlilik!$C26=""),NA(),CHOOSE($Z$1,SQRT($Z$2*(1-$Z$2)/B19)*100,SQRT(B19*$Z$2*(1-$Z$2)),SQRT($Z$2/B19),SQRT(B19*$Z$2)))</f>
        <v/>
      </c>
      <c r="G19">
        <f>IF(OR(Yeterlilik!$B26="",Yeterlilik!$C26=""),NA(),E19+3*F19)</f>
        <v/>
      </c>
      <c r="H19">
        <f>IF(OR(Yeterlilik!$B26="",Yeterlilik!$C26=""),NA(),MAX(0,E19-3*F19))</f>
        <v/>
      </c>
      <c r="I19">
        <f>IF(OR(Yeterlilik!$B26="",Yeterlilik!$C26=""),NA(),SUM(Yeterlilik!$C$9:$C26)/SUM(Yeterlilik!$B$9:$B26)*IF($Z$3,100,1))</f>
        <v/>
      </c>
      <c r="J19">
        <f>IF(OR(Yeterlilik!$B26="",Yeterlilik!$C26=""),NA(),$Z$2*IF($Z$3,100,1))</f>
        <v/>
      </c>
      <c r="K19">
        <f>IF(OR(Yeterlilik!$B26="",Yeterlilik!$C26=""),NA(),C19/B19*IF($Z$3,100,1))</f>
        <v/>
      </c>
    </row>
    <row r="20">
      <c r="A20">
        <f>IF(OR(Yeterlilik!$B27="",Yeterlilik!$C27=""),NA(),19)</f>
        <v/>
      </c>
      <c r="B20">
        <f>IF(OR(Yeterlilik!$B27="",Yeterlilik!$C27=""),NA(),Yeterlilik!$B27)</f>
        <v/>
      </c>
      <c r="C20">
        <f>IF(OR(Yeterlilik!$B27="",Yeterlilik!$C27=""),NA(),Yeterlilik!$C27)</f>
        <v/>
      </c>
      <c r="D20">
        <f>IF(OR(Yeterlilik!$B27="",Yeterlilik!$C27=""),NA(),CHOOSE($Z$1,C20/B20*100,C20,C20/B20,C20))</f>
        <v/>
      </c>
      <c r="E20">
        <f>IF(OR(Yeterlilik!$B27="",Yeterlilik!$C27=""),NA(),CHOOSE($Z$1,$Z$2*100,B20*$Z$2,$Z$2,B20*$Z$2))</f>
        <v/>
      </c>
      <c r="F20">
        <f>IF(OR(Yeterlilik!$B27="",Yeterlilik!$C27=""),NA(),CHOOSE($Z$1,SQRT($Z$2*(1-$Z$2)/B20)*100,SQRT(B20*$Z$2*(1-$Z$2)),SQRT($Z$2/B20),SQRT(B20*$Z$2)))</f>
        <v/>
      </c>
      <c r="G20">
        <f>IF(OR(Yeterlilik!$B27="",Yeterlilik!$C27=""),NA(),E20+3*F20)</f>
        <v/>
      </c>
      <c r="H20">
        <f>IF(OR(Yeterlilik!$B27="",Yeterlilik!$C27=""),NA(),MAX(0,E20-3*F20))</f>
        <v/>
      </c>
      <c r="I20">
        <f>IF(OR(Yeterlilik!$B27="",Yeterlilik!$C27=""),NA(),SUM(Yeterlilik!$C$9:$C27)/SUM(Yeterlilik!$B$9:$B27)*IF($Z$3,100,1))</f>
        <v/>
      </c>
      <c r="J20">
        <f>IF(OR(Yeterlilik!$B27="",Yeterlilik!$C27=""),NA(),$Z$2*IF($Z$3,100,1))</f>
        <v/>
      </c>
      <c r="K20">
        <f>IF(OR(Yeterlilik!$B27="",Yeterlilik!$C27=""),NA(),C20/B20*IF($Z$3,100,1))</f>
        <v/>
      </c>
    </row>
    <row r="21">
      <c r="A21">
        <f>IF(OR(Yeterlilik!$B28="",Yeterlilik!$C28=""),NA(),20)</f>
        <v/>
      </c>
      <c r="B21">
        <f>IF(OR(Yeterlilik!$B28="",Yeterlilik!$C28=""),NA(),Yeterlilik!$B28)</f>
        <v/>
      </c>
      <c r="C21">
        <f>IF(OR(Yeterlilik!$B28="",Yeterlilik!$C28=""),NA(),Yeterlilik!$C28)</f>
        <v/>
      </c>
      <c r="D21">
        <f>IF(OR(Yeterlilik!$B28="",Yeterlilik!$C28=""),NA(),CHOOSE($Z$1,C21/B21*100,C21,C21/B21,C21))</f>
        <v/>
      </c>
      <c r="E21">
        <f>IF(OR(Yeterlilik!$B28="",Yeterlilik!$C28=""),NA(),CHOOSE($Z$1,$Z$2*100,B21*$Z$2,$Z$2,B21*$Z$2))</f>
        <v/>
      </c>
      <c r="F21">
        <f>IF(OR(Yeterlilik!$B28="",Yeterlilik!$C28=""),NA(),CHOOSE($Z$1,SQRT($Z$2*(1-$Z$2)/B21)*100,SQRT(B21*$Z$2*(1-$Z$2)),SQRT($Z$2/B21),SQRT(B21*$Z$2)))</f>
        <v/>
      </c>
      <c r="G21">
        <f>IF(OR(Yeterlilik!$B28="",Yeterlilik!$C28=""),NA(),E21+3*F21)</f>
        <v/>
      </c>
      <c r="H21">
        <f>IF(OR(Yeterlilik!$B28="",Yeterlilik!$C28=""),NA(),MAX(0,E21-3*F21))</f>
        <v/>
      </c>
      <c r="I21">
        <f>IF(OR(Yeterlilik!$B28="",Yeterlilik!$C28=""),NA(),SUM(Yeterlilik!$C$9:$C28)/SUM(Yeterlilik!$B$9:$B28)*IF($Z$3,100,1))</f>
        <v/>
      </c>
      <c r="J21">
        <f>IF(OR(Yeterlilik!$B28="",Yeterlilik!$C28=""),NA(),$Z$2*IF($Z$3,100,1))</f>
        <v/>
      </c>
      <c r="K21">
        <f>IF(OR(Yeterlilik!$B28="",Yeterlilik!$C28=""),NA(),C21/B21*IF($Z$3,100,1))</f>
        <v/>
      </c>
    </row>
    <row r="22">
      <c r="A22">
        <f>IF(OR(Yeterlilik!$B29="",Yeterlilik!$C29=""),NA(),21)</f>
        <v/>
      </c>
      <c r="B22">
        <f>IF(OR(Yeterlilik!$B29="",Yeterlilik!$C29=""),NA(),Yeterlilik!$B29)</f>
        <v/>
      </c>
      <c r="C22">
        <f>IF(OR(Yeterlilik!$B29="",Yeterlilik!$C29=""),NA(),Yeterlilik!$C29)</f>
        <v/>
      </c>
      <c r="D22">
        <f>IF(OR(Yeterlilik!$B29="",Yeterlilik!$C29=""),NA(),CHOOSE($Z$1,C22/B22*100,C22,C22/B22,C22))</f>
        <v/>
      </c>
      <c r="E22">
        <f>IF(OR(Yeterlilik!$B29="",Yeterlilik!$C29=""),NA(),CHOOSE($Z$1,$Z$2*100,B22*$Z$2,$Z$2,B22*$Z$2))</f>
        <v/>
      </c>
      <c r="F22">
        <f>IF(OR(Yeterlilik!$B29="",Yeterlilik!$C29=""),NA(),CHOOSE($Z$1,SQRT($Z$2*(1-$Z$2)/B22)*100,SQRT(B22*$Z$2*(1-$Z$2)),SQRT($Z$2/B22),SQRT(B22*$Z$2)))</f>
        <v/>
      </c>
      <c r="G22">
        <f>IF(OR(Yeterlilik!$B29="",Yeterlilik!$C29=""),NA(),E22+3*F22)</f>
        <v/>
      </c>
      <c r="H22">
        <f>IF(OR(Yeterlilik!$B29="",Yeterlilik!$C29=""),NA(),MAX(0,E22-3*F22))</f>
        <v/>
      </c>
      <c r="I22">
        <f>IF(OR(Yeterlilik!$B29="",Yeterlilik!$C29=""),NA(),SUM(Yeterlilik!$C$9:$C29)/SUM(Yeterlilik!$B$9:$B29)*IF($Z$3,100,1))</f>
        <v/>
      </c>
      <c r="J22">
        <f>IF(OR(Yeterlilik!$B29="",Yeterlilik!$C29=""),NA(),$Z$2*IF($Z$3,100,1))</f>
        <v/>
      </c>
      <c r="K22">
        <f>IF(OR(Yeterlilik!$B29="",Yeterlilik!$C29=""),NA(),C22/B22*IF($Z$3,100,1))</f>
        <v/>
      </c>
    </row>
    <row r="23">
      <c r="A23">
        <f>IF(OR(Yeterlilik!$B30="",Yeterlilik!$C30=""),NA(),22)</f>
        <v/>
      </c>
      <c r="B23">
        <f>IF(OR(Yeterlilik!$B30="",Yeterlilik!$C30=""),NA(),Yeterlilik!$B30)</f>
        <v/>
      </c>
      <c r="C23">
        <f>IF(OR(Yeterlilik!$B30="",Yeterlilik!$C30=""),NA(),Yeterlilik!$C30)</f>
        <v/>
      </c>
      <c r="D23">
        <f>IF(OR(Yeterlilik!$B30="",Yeterlilik!$C30=""),NA(),CHOOSE($Z$1,C23/B23*100,C23,C23/B23,C23))</f>
        <v/>
      </c>
      <c r="E23">
        <f>IF(OR(Yeterlilik!$B30="",Yeterlilik!$C30=""),NA(),CHOOSE($Z$1,$Z$2*100,B23*$Z$2,$Z$2,B23*$Z$2))</f>
        <v/>
      </c>
      <c r="F23">
        <f>IF(OR(Yeterlilik!$B30="",Yeterlilik!$C30=""),NA(),CHOOSE($Z$1,SQRT($Z$2*(1-$Z$2)/B23)*100,SQRT(B23*$Z$2*(1-$Z$2)),SQRT($Z$2/B23),SQRT(B23*$Z$2)))</f>
        <v/>
      </c>
      <c r="G23">
        <f>IF(OR(Yeterlilik!$B30="",Yeterlilik!$C30=""),NA(),E23+3*F23)</f>
        <v/>
      </c>
      <c r="H23">
        <f>IF(OR(Yeterlilik!$B30="",Yeterlilik!$C30=""),NA(),MAX(0,E23-3*F23))</f>
        <v/>
      </c>
      <c r="I23">
        <f>IF(OR(Yeterlilik!$B30="",Yeterlilik!$C30=""),NA(),SUM(Yeterlilik!$C$9:$C30)/SUM(Yeterlilik!$B$9:$B30)*IF($Z$3,100,1))</f>
        <v/>
      </c>
      <c r="J23">
        <f>IF(OR(Yeterlilik!$B30="",Yeterlilik!$C30=""),NA(),$Z$2*IF($Z$3,100,1))</f>
        <v/>
      </c>
      <c r="K23">
        <f>IF(OR(Yeterlilik!$B30="",Yeterlilik!$C30=""),NA(),C23/B23*IF($Z$3,100,1))</f>
        <v/>
      </c>
    </row>
    <row r="24">
      <c r="A24">
        <f>IF(OR(Yeterlilik!$B31="",Yeterlilik!$C31=""),NA(),23)</f>
        <v/>
      </c>
      <c r="B24">
        <f>IF(OR(Yeterlilik!$B31="",Yeterlilik!$C31=""),NA(),Yeterlilik!$B31)</f>
        <v/>
      </c>
      <c r="C24">
        <f>IF(OR(Yeterlilik!$B31="",Yeterlilik!$C31=""),NA(),Yeterlilik!$C31)</f>
        <v/>
      </c>
      <c r="D24">
        <f>IF(OR(Yeterlilik!$B31="",Yeterlilik!$C31=""),NA(),CHOOSE($Z$1,C24/B24*100,C24,C24/B24,C24))</f>
        <v/>
      </c>
      <c r="E24">
        <f>IF(OR(Yeterlilik!$B31="",Yeterlilik!$C31=""),NA(),CHOOSE($Z$1,$Z$2*100,B24*$Z$2,$Z$2,B24*$Z$2))</f>
        <v/>
      </c>
      <c r="F24">
        <f>IF(OR(Yeterlilik!$B31="",Yeterlilik!$C31=""),NA(),CHOOSE($Z$1,SQRT($Z$2*(1-$Z$2)/B24)*100,SQRT(B24*$Z$2*(1-$Z$2)),SQRT($Z$2/B24),SQRT(B24*$Z$2)))</f>
        <v/>
      </c>
      <c r="G24">
        <f>IF(OR(Yeterlilik!$B31="",Yeterlilik!$C31=""),NA(),E24+3*F24)</f>
        <v/>
      </c>
      <c r="H24">
        <f>IF(OR(Yeterlilik!$B31="",Yeterlilik!$C31=""),NA(),MAX(0,E24-3*F24))</f>
        <v/>
      </c>
      <c r="I24">
        <f>IF(OR(Yeterlilik!$B31="",Yeterlilik!$C31=""),NA(),SUM(Yeterlilik!$C$9:$C31)/SUM(Yeterlilik!$B$9:$B31)*IF($Z$3,100,1))</f>
        <v/>
      </c>
      <c r="J24">
        <f>IF(OR(Yeterlilik!$B31="",Yeterlilik!$C31=""),NA(),$Z$2*IF($Z$3,100,1))</f>
        <v/>
      </c>
      <c r="K24">
        <f>IF(OR(Yeterlilik!$B31="",Yeterlilik!$C31=""),NA(),C24/B24*IF($Z$3,100,1))</f>
        <v/>
      </c>
    </row>
    <row r="25">
      <c r="A25">
        <f>IF(OR(Yeterlilik!$B32="",Yeterlilik!$C32=""),NA(),24)</f>
        <v/>
      </c>
      <c r="B25">
        <f>IF(OR(Yeterlilik!$B32="",Yeterlilik!$C32=""),NA(),Yeterlilik!$B32)</f>
        <v/>
      </c>
      <c r="C25">
        <f>IF(OR(Yeterlilik!$B32="",Yeterlilik!$C32=""),NA(),Yeterlilik!$C32)</f>
        <v/>
      </c>
      <c r="D25">
        <f>IF(OR(Yeterlilik!$B32="",Yeterlilik!$C32=""),NA(),CHOOSE($Z$1,C25/B25*100,C25,C25/B25,C25))</f>
        <v/>
      </c>
      <c r="E25">
        <f>IF(OR(Yeterlilik!$B32="",Yeterlilik!$C32=""),NA(),CHOOSE($Z$1,$Z$2*100,B25*$Z$2,$Z$2,B25*$Z$2))</f>
        <v/>
      </c>
      <c r="F25">
        <f>IF(OR(Yeterlilik!$B32="",Yeterlilik!$C32=""),NA(),CHOOSE($Z$1,SQRT($Z$2*(1-$Z$2)/B25)*100,SQRT(B25*$Z$2*(1-$Z$2)),SQRT($Z$2/B25),SQRT(B25*$Z$2)))</f>
        <v/>
      </c>
      <c r="G25">
        <f>IF(OR(Yeterlilik!$B32="",Yeterlilik!$C32=""),NA(),E25+3*F25)</f>
        <v/>
      </c>
      <c r="H25">
        <f>IF(OR(Yeterlilik!$B32="",Yeterlilik!$C32=""),NA(),MAX(0,E25-3*F25))</f>
        <v/>
      </c>
      <c r="I25">
        <f>IF(OR(Yeterlilik!$B32="",Yeterlilik!$C32=""),NA(),SUM(Yeterlilik!$C$9:$C32)/SUM(Yeterlilik!$B$9:$B32)*IF($Z$3,100,1))</f>
        <v/>
      </c>
      <c r="J25">
        <f>IF(OR(Yeterlilik!$B32="",Yeterlilik!$C32=""),NA(),$Z$2*IF($Z$3,100,1))</f>
        <v/>
      </c>
      <c r="K25">
        <f>IF(OR(Yeterlilik!$B32="",Yeterlilik!$C32=""),NA(),C25/B25*IF($Z$3,100,1))</f>
        <v/>
      </c>
    </row>
    <row r="26">
      <c r="A26">
        <f>IF(OR(Yeterlilik!$B33="",Yeterlilik!$C33=""),NA(),25)</f>
        <v/>
      </c>
      <c r="B26">
        <f>IF(OR(Yeterlilik!$B33="",Yeterlilik!$C33=""),NA(),Yeterlilik!$B33)</f>
        <v/>
      </c>
      <c r="C26">
        <f>IF(OR(Yeterlilik!$B33="",Yeterlilik!$C33=""),NA(),Yeterlilik!$C33)</f>
        <v/>
      </c>
      <c r="D26">
        <f>IF(OR(Yeterlilik!$B33="",Yeterlilik!$C33=""),NA(),CHOOSE($Z$1,C26/B26*100,C26,C26/B26,C26))</f>
        <v/>
      </c>
      <c r="E26">
        <f>IF(OR(Yeterlilik!$B33="",Yeterlilik!$C33=""),NA(),CHOOSE($Z$1,$Z$2*100,B26*$Z$2,$Z$2,B26*$Z$2))</f>
        <v/>
      </c>
      <c r="F26">
        <f>IF(OR(Yeterlilik!$B33="",Yeterlilik!$C33=""),NA(),CHOOSE($Z$1,SQRT($Z$2*(1-$Z$2)/B26)*100,SQRT(B26*$Z$2*(1-$Z$2)),SQRT($Z$2/B26),SQRT(B26*$Z$2)))</f>
        <v/>
      </c>
      <c r="G26">
        <f>IF(OR(Yeterlilik!$B33="",Yeterlilik!$C33=""),NA(),E26+3*F26)</f>
        <v/>
      </c>
      <c r="H26">
        <f>IF(OR(Yeterlilik!$B33="",Yeterlilik!$C33=""),NA(),MAX(0,E26-3*F26))</f>
        <v/>
      </c>
      <c r="I26">
        <f>IF(OR(Yeterlilik!$B33="",Yeterlilik!$C33=""),NA(),SUM(Yeterlilik!$C$9:$C33)/SUM(Yeterlilik!$B$9:$B33)*IF($Z$3,100,1))</f>
        <v/>
      </c>
      <c r="J26">
        <f>IF(OR(Yeterlilik!$B33="",Yeterlilik!$C33=""),NA(),$Z$2*IF($Z$3,100,1))</f>
        <v/>
      </c>
      <c r="K26">
        <f>IF(OR(Yeterlilik!$B33="",Yeterlilik!$C33=""),NA(),C26/B26*IF($Z$3,100,1))</f>
        <v/>
      </c>
    </row>
    <row r="27">
      <c r="A27">
        <f>IF(OR(Yeterlilik!$B34="",Yeterlilik!$C34=""),NA(),26)</f>
        <v/>
      </c>
      <c r="B27">
        <f>IF(OR(Yeterlilik!$B34="",Yeterlilik!$C34=""),NA(),Yeterlilik!$B34)</f>
        <v/>
      </c>
      <c r="C27">
        <f>IF(OR(Yeterlilik!$B34="",Yeterlilik!$C34=""),NA(),Yeterlilik!$C34)</f>
        <v/>
      </c>
      <c r="D27">
        <f>IF(OR(Yeterlilik!$B34="",Yeterlilik!$C34=""),NA(),CHOOSE($Z$1,C27/B27*100,C27,C27/B27,C27))</f>
        <v/>
      </c>
      <c r="E27">
        <f>IF(OR(Yeterlilik!$B34="",Yeterlilik!$C34=""),NA(),CHOOSE($Z$1,$Z$2*100,B27*$Z$2,$Z$2,B27*$Z$2))</f>
        <v/>
      </c>
      <c r="F27">
        <f>IF(OR(Yeterlilik!$B34="",Yeterlilik!$C34=""),NA(),CHOOSE($Z$1,SQRT($Z$2*(1-$Z$2)/B27)*100,SQRT(B27*$Z$2*(1-$Z$2)),SQRT($Z$2/B27),SQRT(B27*$Z$2)))</f>
        <v/>
      </c>
      <c r="G27">
        <f>IF(OR(Yeterlilik!$B34="",Yeterlilik!$C34=""),NA(),E27+3*F27)</f>
        <v/>
      </c>
      <c r="H27">
        <f>IF(OR(Yeterlilik!$B34="",Yeterlilik!$C34=""),NA(),MAX(0,E27-3*F27))</f>
        <v/>
      </c>
      <c r="I27">
        <f>IF(OR(Yeterlilik!$B34="",Yeterlilik!$C34=""),NA(),SUM(Yeterlilik!$C$9:$C34)/SUM(Yeterlilik!$B$9:$B34)*IF($Z$3,100,1))</f>
        <v/>
      </c>
      <c r="J27">
        <f>IF(OR(Yeterlilik!$B34="",Yeterlilik!$C34=""),NA(),$Z$2*IF($Z$3,100,1))</f>
        <v/>
      </c>
      <c r="K27">
        <f>IF(OR(Yeterlilik!$B34="",Yeterlilik!$C34=""),NA(),C27/B27*IF($Z$3,100,1))</f>
        <v/>
      </c>
    </row>
    <row r="28">
      <c r="A28">
        <f>IF(OR(Yeterlilik!$B35="",Yeterlilik!$C35=""),NA(),27)</f>
        <v/>
      </c>
      <c r="B28">
        <f>IF(OR(Yeterlilik!$B35="",Yeterlilik!$C35=""),NA(),Yeterlilik!$B35)</f>
        <v/>
      </c>
      <c r="C28">
        <f>IF(OR(Yeterlilik!$B35="",Yeterlilik!$C35=""),NA(),Yeterlilik!$C35)</f>
        <v/>
      </c>
      <c r="D28">
        <f>IF(OR(Yeterlilik!$B35="",Yeterlilik!$C35=""),NA(),CHOOSE($Z$1,C28/B28*100,C28,C28/B28,C28))</f>
        <v/>
      </c>
      <c r="E28">
        <f>IF(OR(Yeterlilik!$B35="",Yeterlilik!$C35=""),NA(),CHOOSE($Z$1,$Z$2*100,B28*$Z$2,$Z$2,B28*$Z$2))</f>
        <v/>
      </c>
      <c r="F28">
        <f>IF(OR(Yeterlilik!$B35="",Yeterlilik!$C35=""),NA(),CHOOSE($Z$1,SQRT($Z$2*(1-$Z$2)/B28)*100,SQRT(B28*$Z$2*(1-$Z$2)),SQRT($Z$2/B28),SQRT(B28*$Z$2)))</f>
        <v/>
      </c>
      <c r="G28">
        <f>IF(OR(Yeterlilik!$B35="",Yeterlilik!$C35=""),NA(),E28+3*F28)</f>
        <v/>
      </c>
      <c r="H28">
        <f>IF(OR(Yeterlilik!$B35="",Yeterlilik!$C35=""),NA(),MAX(0,E28-3*F28))</f>
        <v/>
      </c>
      <c r="I28">
        <f>IF(OR(Yeterlilik!$B35="",Yeterlilik!$C35=""),NA(),SUM(Yeterlilik!$C$9:$C35)/SUM(Yeterlilik!$B$9:$B35)*IF($Z$3,100,1))</f>
        <v/>
      </c>
      <c r="J28">
        <f>IF(OR(Yeterlilik!$B35="",Yeterlilik!$C35=""),NA(),$Z$2*IF($Z$3,100,1))</f>
        <v/>
      </c>
      <c r="K28">
        <f>IF(OR(Yeterlilik!$B35="",Yeterlilik!$C35=""),NA(),C28/B28*IF($Z$3,100,1))</f>
        <v/>
      </c>
    </row>
    <row r="29">
      <c r="A29">
        <f>IF(OR(Yeterlilik!$B36="",Yeterlilik!$C36=""),NA(),28)</f>
        <v/>
      </c>
      <c r="B29">
        <f>IF(OR(Yeterlilik!$B36="",Yeterlilik!$C36=""),NA(),Yeterlilik!$B36)</f>
        <v/>
      </c>
      <c r="C29">
        <f>IF(OR(Yeterlilik!$B36="",Yeterlilik!$C36=""),NA(),Yeterlilik!$C36)</f>
        <v/>
      </c>
      <c r="D29">
        <f>IF(OR(Yeterlilik!$B36="",Yeterlilik!$C36=""),NA(),CHOOSE($Z$1,C29/B29*100,C29,C29/B29,C29))</f>
        <v/>
      </c>
      <c r="E29">
        <f>IF(OR(Yeterlilik!$B36="",Yeterlilik!$C36=""),NA(),CHOOSE($Z$1,$Z$2*100,B29*$Z$2,$Z$2,B29*$Z$2))</f>
        <v/>
      </c>
      <c r="F29">
        <f>IF(OR(Yeterlilik!$B36="",Yeterlilik!$C36=""),NA(),CHOOSE($Z$1,SQRT($Z$2*(1-$Z$2)/B29)*100,SQRT(B29*$Z$2*(1-$Z$2)),SQRT($Z$2/B29),SQRT(B29*$Z$2)))</f>
        <v/>
      </c>
      <c r="G29">
        <f>IF(OR(Yeterlilik!$B36="",Yeterlilik!$C36=""),NA(),E29+3*F29)</f>
        <v/>
      </c>
      <c r="H29">
        <f>IF(OR(Yeterlilik!$B36="",Yeterlilik!$C36=""),NA(),MAX(0,E29-3*F29))</f>
        <v/>
      </c>
      <c r="I29">
        <f>IF(OR(Yeterlilik!$B36="",Yeterlilik!$C36=""),NA(),SUM(Yeterlilik!$C$9:$C36)/SUM(Yeterlilik!$B$9:$B36)*IF($Z$3,100,1))</f>
        <v/>
      </c>
      <c r="J29">
        <f>IF(OR(Yeterlilik!$B36="",Yeterlilik!$C36=""),NA(),$Z$2*IF($Z$3,100,1))</f>
        <v/>
      </c>
      <c r="K29">
        <f>IF(OR(Yeterlilik!$B36="",Yeterlilik!$C36=""),NA(),C29/B29*IF($Z$3,100,1))</f>
        <v/>
      </c>
    </row>
    <row r="30">
      <c r="A30">
        <f>IF(OR(Yeterlilik!$B37="",Yeterlilik!$C37=""),NA(),29)</f>
        <v/>
      </c>
      <c r="B30">
        <f>IF(OR(Yeterlilik!$B37="",Yeterlilik!$C37=""),NA(),Yeterlilik!$B37)</f>
        <v/>
      </c>
      <c r="C30">
        <f>IF(OR(Yeterlilik!$B37="",Yeterlilik!$C37=""),NA(),Yeterlilik!$C37)</f>
        <v/>
      </c>
      <c r="D30">
        <f>IF(OR(Yeterlilik!$B37="",Yeterlilik!$C37=""),NA(),CHOOSE($Z$1,C30/B30*100,C30,C30/B30,C30))</f>
        <v/>
      </c>
      <c r="E30">
        <f>IF(OR(Yeterlilik!$B37="",Yeterlilik!$C37=""),NA(),CHOOSE($Z$1,$Z$2*100,B30*$Z$2,$Z$2,B30*$Z$2))</f>
        <v/>
      </c>
      <c r="F30">
        <f>IF(OR(Yeterlilik!$B37="",Yeterlilik!$C37=""),NA(),CHOOSE($Z$1,SQRT($Z$2*(1-$Z$2)/B30)*100,SQRT(B30*$Z$2*(1-$Z$2)),SQRT($Z$2/B30),SQRT(B30*$Z$2)))</f>
        <v/>
      </c>
      <c r="G30">
        <f>IF(OR(Yeterlilik!$B37="",Yeterlilik!$C37=""),NA(),E30+3*F30)</f>
        <v/>
      </c>
      <c r="H30">
        <f>IF(OR(Yeterlilik!$B37="",Yeterlilik!$C37=""),NA(),MAX(0,E30-3*F30))</f>
        <v/>
      </c>
      <c r="I30">
        <f>IF(OR(Yeterlilik!$B37="",Yeterlilik!$C37=""),NA(),SUM(Yeterlilik!$C$9:$C37)/SUM(Yeterlilik!$B$9:$B37)*IF($Z$3,100,1))</f>
        <v/>
      </c>
      <c r="J30">
        <f>IF(OR(Yeterlilik!$B37="",Yeterlilik!$C37=""),NA(),$Z$2*IF($Z$3,100,1))</f>
        <v/>
      </c>
      <c r="K30">
        <f>IF(OR(Yeterlilik!$B37="",Yeterlilik!$C37=""),NA(),C30/B30*IF($Z$3,100,1))</f>
        <v/>
      </c>
    </row>
    <row r="31">
      <c r="A31">
        <f>IF(OR(Yeterlilik!$B38="",Yeterlilik!$C38=""),NA(),30)</f>
        <v/>
      </c>
      <c r="B31">
        <f>IF(OR(Yeterlilik!$B38="",Yeterlilik!$C38=""),NA(),Yeterlilik!$B38)</f>
        <v/>
      </c>
      <c r="C31">
        <f>IF(OR(Yeterlilik!$B38="",Yeterlilik!$C38=""),NA(),Yeterlilik!$C38)</f>
        <v/>
      </c>
      <c r="D31">
        <f>IF(OR(Yeterlilik!$B38="",Yeterlilik!$C38=""),NA(),CHOOSE($Z$1,C31/B31*100,C31,C31/B31,C31))</f>
        <v/>
      </c>
      <c r="E31">
        <f>IF(OR(Yeterlilik!$B38="",Yeterlilik!$C38=""),NA(),CHOOSE($Z$1,$Z$2*100,B31*$Z$2,$Z$2,B31*$Z$2))</f>
        <v/>
      </c>
      <c r="F31">
        <f>IF(OR(Yeterlilik!$B38="",Yeterlilik!$C38=""),NA(),CHOOSE($Z$1,SQRT($Z$2*(1-$Z$2)/B31)*100,SQRT(B31*$Z$2*(1-$Z$2)),SQRT($Z$2/B31),SQRT(B31*$Z$2)))</f>
        <v/>
      </c>
      <c r="G31">
        <f>IF(OR(Yeterlilik!$B38="",Yeterlilik!$C38=""),NA(),E31+3*F31)</f>
        <v/>
      </c>
      <c r="H31">
        <f>IF(OR(Yeterlilik!$B38="",Yeterlilik!$C38=""),NA(),MAX(0,E31-3*F31))</f>
        <v/>
      </c>
      <c r="I31">
        <f>IF(OR(Yeterlilik!$B38="",Yeterlilik!$C38=""),NA(),SUM(Yeterlilik!$C$9:$C38)/SUM(Yeterlilik!$B$9:$B38)*IF($Z$3,100,1))</f>
        <v/>
      </c>
      <c r="J31">
        <f>IF(OR(Yeterlilik!$B38="",Yeterlilik!$C38=""),NA(),$Z$2*IF($Z$3,100,1))</f>
        <v/>
      </c>
      <c r="K31">
        <f>IF(OR(Yeterlilik!$B38="",Yeterlilik!$C38=""),NA(),C31/B31*IF($Z$3,100,1))</f>
        <v/>
      </c>
    </row>
    <row r="32">
      <c r="A32">
        <f>IF(OR(Yeterlilik!$B39="",Yeterlilik!$C39=""),NA(),31)</f>
        <v/>
      </c>
      <c r="B32">
        <f>IF(OR(Yeterlilik!$B39="",Yeterlilik!$C39=""),NA(),Yeterlilik!$B39)</f>
        <v/>
      </c>
      <c r="C32">
        <f>IF(OR(Yeterlilik!$B39="",Yeterlilik!$C39=""),NA(),Yeterlilik!$C39)</f>
        <v/>
      </c>
      <c r="D32">
        <f>IF(OR(Yeterlilik!$B39="",Yeterlilik!$C39=""),NA(),CHOOSE($Z$1,C32/B32*100,C32,C32/B32,C32))</f>
        <v/>
      </c>
      <c r="E32">
        <f>IF(OR(Yeterlilik!$B39="",Yeterlilik!$C39=""),NA(),CHOOSE($Z$1,$Z$2*100,B32*$Z$2,$Z$2,B32*$Z$2))</f>
        <v/>
      </c>
      <c r="F32">
        <f>IF(OR(Yeterlilik!$B39="",Yeterlilik!$C39=""),NA(),CHOOSE($Z$1,SQRT($Z$2*(1-$Z$2)/B32)*100,SQRT(B32*$Z$2*(1-$Z$2)),SQRT($Z$2/B32),SQRT(B32*$Z$2)))</f>
        <v/>
      </c>
      <c r="G32">
        <f>IF(OR(Yeterlilik!$B39="",Yeterlilik!$C39=""),NA(),E32+3*F32)</f>
        <v/>
      </c>
      <c r="H32">
        <f>IF(OR(Yeterlilik!$B39="",Yeterlilik!$C39=""),NA(),MAX(0,E32-3*F32))</f>
        <v/>
      </c>
      <c r="I32">
        <f>IF(OR(Yeterlilik!$B39="",Yeterlilik!$C39=""),NA(),SUM(Yeterlilik!$C$9:$C39)/SUM(Yeterlilik!$B$9:$B39)*IF($Z$3,100,1))</f>
        <v/>
      </c>
      <c r="J32">
        <f>IF(OR(Yeterlilik!$B39="",Yeterlilik!$C39=""),NA(),$Z$2*IF($Z$3,100,1))</f>
        <v/>
      </c>
      <c r="K32">
        <f>IF(OR(Yeterlilik!$B39="",Yeterlilik!$C39=""),NA(),C32/B32*IF($Z$3,100,1))</f>
        <v/>
      </c>
    </row>
    <row r="33">
      <c r="A33">
        <f>IF(OR(Yeterlilik!$B40="",Yeterlilik!$C40=""),NA(),32)</f>
        <v/>
      </c>
      <c r="B33">
        <f>IF(OR(Yeterlilik!$B40="",Yeterlilik!$C40=""),NA(),Yeterlilik!$B40)</f>
        <v/>
      </c>
      <c r="C33">
        <f>IF(OR(Yeterlilik!$B40="",Yeterlilik!$C40=""),NA(),Yeterlilik!$C40)</f>
        <v/>
      </c>
      <c r="D33">
        <f>IF(OR(Yeterlilik!$B40="",Yeterlilik!$C40=""),NA(),CHOOSE($Z$1,C33/B33*100,C33,C33/B33,C33))</f>
        <v/>
      </c>
      <c r="E33">
        <f>IF(OR(Yeterlilik!$B40="",Yeterlilik!$C40=""),NA(),CHOOSE($Z$1,$Z$2*100,B33*$Z$2,$Z$2,B33*$Z$2))</f>
        <v/>
      </c>
      <c r="F33">
        <f>IF(OR(Yeterlilik!$B40="",Yeterlilik!$C40=""),NA(),CHOOSE($Z$1,SQRT($Z$2*(1-$Z$2)/B33)*100,SQRT(B33*$Z$2*(1-$Z$2)),SQRT($Z$2/B33),SQRT(B33*$Z$2)))</f>
        <v/>
      </c>
      <c r="G33">
        <f>IF(OR(Yeterlilik!$B40="",Yeterlilik!$C40=""),NA(),E33+3*F33)</f>
        <v/>
      </c>
      <c r="H33">
        <f>IF(OR(Yeterlilik!$B40="",Yeterlilik!$C40=""),NA(),MAX(0,E33-3*F33))</f>
        <v/>
      </c>
      <c r="I33">
        <f>IF(OR(Yeterlilik!$B40="",Yeterlilik!$C40=""),NA(),SUM(Yeterlilik!$C$9:$C40)/SUM(Yeterlilik!$B$9:$B40)*IF($Z$3,100,1))</f>
        <v/>
      </c>
      <c r="J33">
        <f>IF(OR(Yeterlilik!$B40="",Yeterlilik!$C40=""),NA(),$Z$2*IF($Z$3,100,1))</f>
        <v/>
      </c>
      <c r="K33">
        <f>IF(OR(Yeterlilik!$B40="",Yeterlilik!$C40=""),NA(),C33/B33*IF($Z$3,100,1))</f>
        <v/>
      </c>
    </row>
    <row r="34">
      <c r="A34">
        <f>IF(OR(Yeterlilik!$B41="",Yeterlilik!$C41=""),NA(),33)</f>
        <v/>
      </c>
      <c r="B34">
        <f>IF(OR(Yeterlilik!$B41="",Yeterlilik!$C41=""),NA(),Yeterlilik!$B41)</f>
        <v/>
      </c>
      <c r="C34">
        <f>IF(OR(Yeterlilik!$B41="",Yeterlilik!$C41=""),NA(),Yeterlilik!$C41)</f>
        <v/>
      </c>
      <c r="D34">
        <f>IF(OR(Yeterlilik!$B41="",Yeterlilik!$C41=""),NA(),CHOOSE($Z$1,C34/B34*100,C34,C34/B34,C34))</f>
        <v/>
      </c>
      <c r="E34">
        <f>IF(OR(Yeterlilik!$B41="",Yeterlilik!$C41=""),NA(),CHOOSE($Z$1,$Z$2*100,B34*$Z$2,$Z$2,B34*$Z$2))</f>
        <v/>
      </c>
      <c r="F34">
        <f>IF(OR(Yeterlilik!$B41="",Yeterlilik!$C41=""),NA(),CHOOSE($Z$1,SQRT($Z$2*(1-$Z$2)/B34)*100,SQRT(B34*$Z$2*(1-$Z$2)),SQRT($Z$2/B34),SQRT(B34*$Z$2)))</f>
        <v/>
      </c>
      <c r="G34">
        <f>IF(OR(Yeterlilik!$B41="",Yeterlilik!$C41=""),NA(),E34+3*F34)</f>
        <v/>
      </c>
      <c r="H34">
        <f>IF(OR(Yeterlilik!$B41="",Yeterlilik!$C41=""),NA(),MAX(0,E34-3*F34))</f>
        <v/>
      </c>
      <c r="I34">
        <f>IF(OR(Yeterlilik!$B41="",Yeterlilik!$C41=""),NA(),SUM(Yeterlilik!$C$9:$C41)/SUM(Yeterlilik!$B$9:$B41)*IF($Z$3,100,1))</f>
        <v/>
      </c>
      <c r="J34">
        <f>IF(OR(Yeterlilik!$B41="",Yeterlilik!$C41=""),NA(),$Z$2*IF($Z$3,100,1))</f>
        <v/>
      </c>
      <c r="K34">
        <f>IF(OR(Yeterlilik!$B41="",Yeterlilik!$C41=""),NA(),C34/B34*IF($Z$3,100,1))</f>
        <v/>
      </c>
    </row>
    <row r="35">
      <c r="A35">
        <f>IF(OR(Yeterlilik!$B42="",Yeterlilik!$C42=""),NA(),34)</f>
        <v/>
      </c>
      <c r="B35">
        <f>IF(OR(Yeterlilik!$B42="",Yeterlilik!$C42=""),NA(),Yeterlilik!$B42)</f>
        <v/>
      </c>
      <c r="C35">
        <f>IF(OR(Yeterlilik!$B42="",Yeterlilik!$C42=""),NA(),Yeterlilik!$C42)</f>
        <v/>
      </c>
      <c r="D35">
        <f>IF(OR(Yeterlilik!$B42="",Yeterlilik!$C42=""),NA(),CHOOSE($Z$1,C35/B35*100,C35,C35/B35,C35))</f>
        <v/>
      </c>
      <c r="E35">
        <f>IF(OR(Yeterlilik!$B42="",Yeterlilik!$C42=""),NA(),CHOOSE($Z$1,$Z$2*100,B35*$Z$2,$Z$2,B35*$Z$2))</f>
        <v/>
      </c>
      <c r="F35">
        <f>IF(OR(Yeterlilik!$B42="",Yeterlilik!$C42=""),NA(),CHOOSE($Z$1,SQRT($Z$2*(1-$Z$2)/B35)*100,SQRT(B35*$Z$2*(1-$Z$2)),SQRT($Z$2/B35),SQRT(B35*$Z$2)))</f>
        <v/>
      </c>
      <c r="G35">
        <f>IF(OR(Yeterlilik!$B42="",Yeterlilik!$C42=""),NA(),E35+3*F35)</f>
        <v/>
      </c>
      <c r="H35">
        <f>IF(OR(Yeterlilik!$B42="",Yeterlilik!$C42=""),NA(),MAX(0,E35-3*F35))</f>
        <v/>
      </c>
      <c r="I35">
        <f>IF(OR(Yeterlilik!$B42="",Yeterlilik!$C42=""),NA(),SUM(Yeterlilik!$C$9:$C42)/SUM(Yeterlilik!$B$9:$B42)*IF($Z$3,100,1))</f>
        <v/>
      </c>
      <c r="J35">
        <f>IF(OR(Yeterlilik!$B42="",Yeterlilik!$C42=""),NA(),$Z$2*IF($Z$3,100,1))</f>
        <v/>
      </c>
      <c r="K35">
        <f>IF(OR(Yeterlilik!$B42="",Yeterlilik!$C42=""),NA(),C35/B35*IF($Z$3,100,1))</f>
        <v/>
      </c>
    </row>
    <row r="36">
      <c r="A36">
        <f>IF(OR(Yeterlilik!$B43="",Yeterlilik!$C43=""),NA(),35)</f>
        <v/>
      </c>
      <c r="B36">
        <f>IF(OR(Yeterlilik!$B43="",Yeterlilik!$C43=""),NA(),Yeterlilik!$B43)</f>
        <v/>
      </c>
      <c r="C36">
        <f>IF(OR(Yeterlilik!$B43="",Yeterlilik!$C43=""),NA(),Yeterlilik!$C43)</f>
        <v/>
      </c>
      <c r="D36">
        <f>IF(OR(Yeterlilik!$B43="",Yeterlilik!$C43=""),NA(),CHOOSE($Z$1,C36/B36*100,C36,C36/B36,C36))</f>
        <v/>
      </c>
      <c r="E36">
        <f>IF(OR(Yeterlilik!$B43="",Yeterlilik!$C43=""),NA(),CHOOSE($Z$1,$Z$2*100,B36*$Z$2,$Z$2,B36*$Z$2))</f>
        <v/>
      </c>
      <c r="F36">
        <f>IF(OR(Yeterlilik!$B43="",Yeterlilik!$C43=""),NA(),CHOOSE($Z$1,SQRT($Z$2*(1-$Z$2)/B36)*100,SQRT(B36*$Z$2*(1-$Z$2)),SQRT($Z$2/B36),SQRT(B36*$Z$2)))</f>
        <v/>
      </c>
      <c r="G36">
        <f>IF(OR(Yeterlilik!$B43="",Yeterlilik!$C43=""),NA(),E36+3*F36)</f>
        <v/>
      </c>
      <c r="H36">
        <f>IF(OR(Yeterlilik!$B43="",Yeterlilik!$C43=""),NA(),MAX(0,E36-3*F36))</f>
        <v/>
      </c>
      <c r="I36">
        <f>IF(OR(Yeterlilik!$B43="",Yeterlilik!$C43=""),NA(),SUM(Yeterlilik!$C$9:$C43)/SUM(Yeterlilik!$B$9:$B43)*IF($Z$3,100,1))</f>
        <v/>
      </c>
      <c r="J36">
        <f>IF(OR(Yeterlilik!$B43="",Yeterlilik!$C43=""),NA(),$Z$2*IF($Z$3,100,1))</f>
        <v/>
      </c>
      <c r="K36">
        <f>IF(OR(Yeterlilik!$B43="",Yeterlilik!$C43=""),NA(),C36/B36*IF($Z$3,100,1))</f>
        <v/>
      </c>
    </row>
    <row r="37">
      <c r="A37">
        <f>IF(OR(Yeterlilik!$B44="",Yeterlilik!$C44=""),NA(),36)</f>
        <v/>
      </c>
      <c r="B37">
        <f>IF(OR(Yeterlilik!$B44="",Yeterlilik!$C44=""),NA(),Yeterlilik!$B44)</f>
        <v/>
      </c>
      <c r="C37">
        <f>IF(OR(Yeterlilik!$B44="",Yeterlilik!$C44=""),NA(),Yeterlilik!$C44)</f>
        <v/>
      </c>
      <c r="D37">
        <f>IF(OR(Yeterlilik!$B44="",Yeterlilik!$C44=""),NA(),CHOOSE($Z$1,C37/B37*100,C37,C37/B37,C37))</f>
        <v/>
      </c>
      <c r="E37">
        <f>IF(OR(Yeterlilik!$B44="",Yeterlilik!$C44=""),NA(),CHOOSE($Z$1,$Z$2*100,B37*$Z$2,$Z$2,B37*$Z$2))</f>
        <v/>
      </c>
      <c r="F37">
        <f>IF(OR(Yeterlilik!$B44="",Yeterlilik!$C44=""),NA(),CHOOSE($Z$1,SQRT($Z$2*(1-$Z$2)/B37)*100,SQRT(B37*$Z$2*(1-$Z$2)),SQRT($Z$2/B37),SQRT(B37*$Z$2)))</f>
        <v/>
      </c>
      <c r="G37">
        <f>IF(OR(Yeterlilik!$B44="",Yeterlilik!$C44=""),NA(),E37+3*F37)</f>
        <v/>
      </c>
      <c r="H37">
        <f>IF(OR(Yeterlilik!$B44="",Yeterlilik!$C44=""),NA(),MAX(0,E37-3*F37))</f>
        <v/>
      </c>
      <c r="I37">
        <f>IF(OR(Yeterlilik!$B44="",Yeterlilik!$C44=""),NA(),SUM(Yeterlilik!$C$9:$C44)/SUM(Yeterlilik!$B$9:$B44)*IF($Z$3,100,1))</f>
        <v/>
      </c>
      <c r="J37">
        <f>IF(OR(Yeterlilik!$B44="",Yeterlilik!$C44=""),NA(),$Z$2*IF($Z$3,100,1))</f>
        <v/>
      </c>
      <c r="K37">
        <f>IF(OR(Yeterlilik!$B44="",Yeterlilik!$C44=""),NA(),C37/B37*IF($Z$3,100,1))</f>
        <v/>
      </c>
    </row>
    <row r="38">
      <c r="A38">
        <f>IF(OR(Yeterlilik!$B45="",Yeterlilik!$C45=""),NA(),37)</f>
        <v/>
      </c>
      <c r="B38">
        <f>IF(OR(Yeterlilik!$B45="",Yeterlilik!$C45=""),NA(),Yeterlilik!$B45)</f>
        <v/>
      </c>
      <c r="C38">
        <f>IF(OR(Yeterlilik!$B45="",Yeterlilik!$C45=""),NA(),Yeterlilik!$C45)</f>
        <v/>
      </c>
      <c r="D38">
        <f>IF(OR(Yeterlilik!$B45="",Yeterlilik!$C45=""),NA(),CHOOSE($Z$1,C38/B38*100,C38,C38/B38,C38))</f>
        <v/>
      </c>
      <c r="E38">
        <f>IF(OR(Yeterlilik!$B45="",Yeterlilik!$C45=""),NA(),CHOOSE($Z$1,$Z$2*100,B38*$Z$2,$Z$2,B38*$Z$2))</f>
        <v/>
      </c>
      <c r="F38">
        <f>IF(OR(Yeterlilik!$B45="",Yeterlilik!$C45=""),NA(),CHOOSE($Z$1,SQRT($Z$2*(1-$Z$2)/B38)*100,SQRT(B38*$Z$2*(1-$Z$2)),SQRT($Z$2/B38),SQRT(B38*$Z$2)))</f>
        <v/>
      </c>
      <c r="G38">
        <f>IF(OR(Yeterlilik!$B45="",Yeterlilik!$C45=""),NA(),E38+3*F38)</f>
        <v/>
      </c>
      <c r="H38">
        <f>IF(OR(Yeterlilik!$B45="",Yeterlilik!$C45=""),NA(),MAX(0,E38-3*F38))</f>
        <v/>
      </c>
      <c r="I38">
        <f>IF(OR(Yeterlilik!$B45="",Yeterlilik!$C45=""),NA(),SUM(Yeterlilik!$C$9:$C45)/SUM(Yeterlilik!$B$9:$B45)*IF($Z$3,100,1))</f>
        <v/>
      </c>
      <c r="J38">
        <f>IF(OR(Yeterlilik!$B45="",Yeterlilik!$C45=""),NA(),$Z$2*IF($Z$3,100,1))</f>
        <v/>
      </c>
      <c r="K38">
        <f>IF(OR(Yeterlilik!$B45="",Yeterlilik!$C45=""),NA(),C38/B38*IF($Z$3,100,1))</f>
        <v/>
      </c>
    </row>
    <row r="39">
      <c r="A39">
        <f>IF(OR(Yeterlilik!$B46="",Yeterlilik!$C46=""),NA(),38)</f>
        <v/>
      </c>
      <c r="B39">
        <f>IF(OR(Yeterlilik!$B46="",Yeterlilik!$C46=""),NA(),Yeterlilik!$B46)</f>
        <v/>
      </c>
      <c r="C39">
        <f>IF(OR(Yeterlilik!$B46="",Yeterlilik!$C46=""),NA(),Yeterlilik!$C46)</f>
        <v/>
      </c>
      <c r="D39">
        <f>IF(OR(Yeterlilik!$B46="",Yeterlilik!$C46=""),NA(),CHOOSE($Z$1,C39/B39*100,C39,C39/B39,C39))</f>
        <v/>
      </c>
      <c r="E39">
        <f>IF(OR(Yeterlilik!$B46="",Yeterlilik!$C46=""),NA(),CHOOSE($Z$1,$Z$2*100,B39*$Z$2,$Z$2,B39*$Z$2))</f>
        <v/>
      </c>
      <c r="F39">
        <f>IF(OR(Yeterlilik!$B46="",Yeterlilik!$C46=""),NA(),CHOOSE($Z$1,SQRT($Z$2*(1-$Z$2)/B39)*100,SQRT(B39*$Z$2*(1-$Z$2)),SQRT($Z$2/B39),SQRT(B39*$Z$2)))</f>
        <v/>
      </c>
      <c r="G39">
        <f>IF(OR(Yeterlilik!$B46="",Yeterlilik!$C46=""),NA(),E39+3*F39)</f>
        <v/>
      </c>
      <c r="H39">
        <f>IF(OR(Yeterlilik!$B46="",Yeterlilik!$C46=""),NA(),MAX(0,E39-3*F39))</f>
        <v/>
      </c>
      <c r="I39">
        <f>IF(OR(Yeterlilik!$B46="",Yeterlilik!$C46=""),NA(),SUM(Yeterlilik!$C$9:$C46)/SUM(Yeterlilik!$B$9:$B46)*IF($Z$3,100,1))</f>
        <v/>
      </c>
      <c r="J39">
        <f>IF(OR(Yeterlilik!$B46="",Yeterlilik!$C46=""),NA(),$Z$2*IF($Z$3,100,1))</f>
        <v/>
      </c>
      <c r="K39">
        <f>IF(OR(Yeterlilik!$B46="",Yeterlilik!$C46=""),NA(),C39/B39*IF($Z$3,100,1))</f>
        <v/>
      </c>
    </row>
    <row r="40">
      <c r="A40">
        <f>IF(OR(Yeterlilik!$B47="",Yeterlilik!$C47=""),NA(),39)</f>
        <v/>
      </c>
      <c r="B40">
        <f>IF(OR(Yeterlilik!$B47="",Yeterlilik!$C47=""),NA(),Yeterlilik!$B47)</f>
        <v/>
      </c>
      <c r="C40">
        <f>IF(OR(Yeterlilik!$B47="",Yeterlilik!$C47=""),NA(),Yeterlilik!$C47)</f>
        <v/>
      </c>
      <c r="D40">
        <f>IF(OR(Yeterlilik!$B47="",Yeterlilik!$C47=""),NA(),CHOOSE($Z$1,C40/B40*100,C40,C40/B40,C40))</f>
        <v/>
      </c>
      <c r="E40">
        <f>IF(OR(Yeterlilik!$B47="",Yeterlilik!$C47=""),NA(),CHOOSE($Z$1,$Z$2*100,B40*$Z$2,$Z$2,B40*$Z$2))</f>
        <v/>
      </c>
      <c r="F40">
        <f>IF(OR(Yeterlilik!$B47="",Yeterlilik!$C47=""),NA(),CHOOSE($Z$1,SQRT($Z$2*(1-$Z$2)/B40)*100,SQRT(B40*$Z$2*(1-$Z$2)),SQRT($Z$2/B40),SQRT(B40*$Z$2)))</f>
        <v/>
      </c>
      <c r="G40">
        <f>IF(OR(Yeterlilik!$B47="",Yeterlilik!$C47=""),NA(),E40+3*F40)</f>
        <v/>
      </c>
      <c r="H40">
        <f>IF(OR(Yeterlilik!$B47="",Yeterlilik!$C47=""),NA(),MAX(0,E40-3*F40))</f>
        <v/>
      </c>
      <c r="I40">
        <f>IF(OR(Yeterlilik!$B47="",Yeterlilik!$C47=""),NA(),SUM(Yeterlilik!$C$9:$C47)/SUM(Yeterlilik!$B$9:$B47)*IF($Z$3,100,1))</f>
        <v/>
      </c>
      <c r="J40">
        <f>IF(OR(Yeterlilik!$B47="",Yeterlilik!$C47=""),NA(),$Z$2*IF($Z$3,100,1))</f>
        <v/>
      </c>
      <c r="K40">
        <f>IF(OR(Yeterlilik!$B47="",Yeterlilik!$C47=""),NA(),C40/B40*IF($Z$3,100,1))</f>
        <v/>
      </c>
    </row>
    <row r="41">
      <c r="A41">
        <f>IF(OR(Yeterlilik!$B48="",Yeterlilik!$C48=""),NA(),40)</f>
        <v/>
      </c>
      <c r="B41">
        <f>IF(OR(Yeterlilik!$B48="",Yeterlilik!$C48=""),NA(),Yeterlilik!$B48)</f>
        <v/>
      </c>
      <c r="C41">
        <f>IF(OR(Yeterlilik!$B48="",Yeterlilik!$C48=""),NA(),Yeterlilik!$C48)</f>
        <v/>
      </c>
      <c r="D41">
        <f>IF(OR(Yeterlilik!$B48="",Yeterlilik!$C48=""),NA(),CHOOSE($Z$1,C41/B41*100,C41,C41/B41,C41))</f>
        <v/>
      </c>
      <c r="E41">
        <f>IF(OR(Yeterlilik!$B48="",Yeterlilik!$C48=""),NA(),CHOOSE($Z$1,$Z$2*100,B41*$Z$2,$Z$2,B41*$Z$2))</f>
        <v/>
      </c>
      <c r="F41">
        <f>IF(OR(Yeterlilik!$B48="",Yeterlilik!$C48=""),NA(),CHOOSE($Z$1,SQRT($Z$2*(1-$Z$2)/B41)*100,SQRT(B41*$Z$2*(1-$Z$2)),SQRT($Z$2/B41),SQRT(B41*$Z$2)))</f>
        <v/>
      </c>
      <c r="G41">
        <f>IF(OR(Yeterlilik!$B48="",Yeterlilik!$C48=""),NA(),E41+3*F41)</f>
        <v/>
      </c>
      <c r="H41">
        <f>IF(OR(Yeterlilik!$B48="",Yeterlilik!$C48=""),NA(),MAX(0,E41-3*F41))</f>
        <v/>
      </c>
      <c r="I41">
        <f>IF(OR(Yeterlilik!$B48="",Yeterlilik!$C48=""),NA(),SUM(Yeterlilik!$C$9:$C48)/SUM(Yeterlilik!$B$9:$B48)*IF($Z$3,100,1))</f>
        <v/>
      </c>
      <c r="J41">
        <f>IF(OR(Yeterlilik!$B48="",Yeterlilik!$C48=""),NA(),$Z$2*IF($Z$3,100,1))</f>
        <v/>
      </c>
      <c r="K41">
        <f>IF(OR(Yeterlilik!$B48="",Yeterlilik!$C48=""),NA(),C41/B41*IF($Z$3,100,1))</f>
        <v/>
      </c>
    </row>
    <row r="42">
      <c r="A42">
        <f>IF(OR(Yeterlilik!$B49="",Yeterlilik!$C49=""),NA(),41)</f>
        <v/>
      </c>
      <c r="B42">
        <f>IF(OR(Yeterlilik!$B49="",Yeterlilik!$C49=""),NA(),Yeterlilik!$B49)</f>
        <v/>
      </c>
      <c r="C42">
        <f>IF(OR(Yeterlilik!$B49="",Yeterlilik!$C49=""),NA(),Yeterlilik!$C49)</f>
        <v/>
      </c>
      <c r="D42">
        <f>IF(OR(Yeterlilik!$B49="",Yeterlilik!$C49=""),NA(),CHOOSE($Z$1,C42/B42*100,C42,C42/B42,C42))</f>
        <v/>
      </c>
      <c r="E42">
        <f>IF(OR(Yeterlilik!$B49="",Yeterlilik!$C49=""),NA(),CHOOSE($Z$1,$Z$2*100,B42*$Z$2,$Z$2,B42*$Z$2))</f>
        <v/>
      </c>
      <c r="F42">
        <f>IF(OR(Yeterlilik!$B49="",Yeterlilik!$C49=""),NA(),CHOOSE($Z$1,SQRT($Z$2*(1-$Z$2)/B42)*100,SQRT(B42*$Z$2*(1-$Z$2)),SQRT($Z$2/B42),SQRT(B42*$Z$2)))</f>
        <v/>
      </c>
      <c r="G42">
        <f>IF(OR(Yeterlilik!$B49="",Yeterlilik!$C49=""),NA(),E42+3*F42)</f>
        <v/>
      </c>
      <c r="H42">
        <f>IF(OR(Yeterlilik!$B49="",Yeterlilik!$C49=""),NA(),MAX(0,E42-3*F42))</f>
        <v/>
      </c>
      <c r="I42">
        <f>IF(OR(Yeterlilik!$B49="",Yeterlilik!$C49=""),NA(),SUM(Yeterlilik!$C$9:$C49)/SUM(Yeterlilik!$B$9:$B49)*IF($Z$3,100,1))</f>
        <v/>
      </c>
      <c r="J42">
        <f>IF(OR(Yeterlilik!$B49="",Yeterlilik!$C49=""),NA(),$Z$2*IF($Z$3,100,1))</f>
        <v/>
      </c>
      <c r="K42">
        <f>IF(OR(Yeterlilik!$B49="",Yeterlilik!$C49=""),NA(),C42/B42*IF($Z$3,100,1))</f>
        <v/>
      </c>
    </row>
    <row r="43">
      <c r="A43">
        <f>IF(OR(Yeterlilik!$B50="",Yeterlilik!$C50=""),NA(),42)</f>
        <v/>
      </c>
      <c r="B43">
        <f>IF(OR(Yeterlilik!$B50="",Yeterlilik!$C50=""),NA(),Yeterlilik!$B50)</f>
        <v/>
      </c>
      <c r="C43">
        <f>IF(OR(Yeterlilik!$B50="",Yeterlilik!$C50=""),NA(),Yeterlilik!$C50)</f>
        <v/>
      </c>
      <c r="D43">
        <f>IF(OR(Yeterlilik!$B50="",Yeterlilik!$C50=""),NA(),CHOOSE($Z$1,C43/B43*100,C43,C43/B43,C43))</f>
        <v/>
      </c>
      <c r="E43">
        <f>IF(OR(Yeterlilik!$B50="",Yeterlilik!$C50=""),NA(),CHOOSE($Z$1,$Z$2*100,B43*$Z$2,$Z$2,B43*$Z$2))</f>
        <v/>
      </c>
      <c r="F43">
        <f>IF(OR(Yeterlilik!$B50="",Yeterlilik!$C50=""),NA(),CHOOSE($Z$1,SQRT($Z$2*(1-$Z$2)/B43)*100,SQRT(B43*$Z$2*(1-$Z$2)),SQRT($Z$2/B43),SQRT(B43*$Z$2)))</f>
        <v/>
      </c>
      <c r="G43">
        <f>IF(OR(Yeterlilik!$B50="",Yeterlilik!$C50=""),NA(),E43+3*F43)</f>
        <v/>
      </c>
      <c r="H43">
        <f>IF(OR(Yeterlilik!$B50="",Yeterlilik!$C50=""),NA(),MAX(0,E43-3*F43))</f>
        <v/>
      </c>
      <c r="I43">
        <f>IF(OR(Yeterlilik!$B50="",Yeterlilik!$C50=""),NA(),SUM(Yeterlilik!$C$9:$C50)/SUM(Yeterlilik!$B$9:$B50)*IF($Z$3,100,1))</f>
        <v/>
      </c>
      <c r="J43">
        <f>IF(OR(Yeterlilik!$B50="",Yeterlilik!$C50=""),NA(),$Z$2*IF($Z$3,100,1))</f>
        <v/>
      </c>
      <c r="K43">
        <f>IF(OR(Yeterlilik!$B50="",Yeterlilik!$C50=""),NA(),C43/B43*IF($Z$3,100,1))</f>
        <v/>
      </c>
    </row>
    <row r="44">
      <c r="A44">
        <f>IF(OR(Yeterlilik!$B51="",Yeterlilik!$C51=""),NA(),43)</f>
        <v/>
      </c>
      <c r="B44">
        <f>IF(OR(Yeterlilik!$B51="",Yeterlilik!$C51=""),NA(),Yeterlilik!$B51)</f>
        <v/>
      </c>
      <c r="C44">
        <f>IF(OR(Yeterlilik!$B51="",Yeterlilik!$C51=""),NA(),Yeterlilik!$C51)</f>
        <v/>
      </c>
      <c r="D44">
        <f>IF(OR(Yeterlilik!$B51="",Yeterlilik!$C51=""),NA(),CHOOSE($Z$1,C44/B44*100,C44,C44/B44,C44))</f>
        <v/>
      </c>
      <c r="E44">
        <f>IF(OR(Yeterlilik!$B51="",Yeterlilik!$C51=""),NA(),CHOOSE($Z$1,$Z$2*100,B44*$Z$2,$Z$2,B44*$Z$2))</f>
        <v/>
      </c>
      <c r="F44">
        <f>IF(OR(Yeterlilik!$B51="",Yeterlilik!$C51=""),NA(),CHOOSE($Z$1,SQRT($Z$2*(1-$Z$2)/B44)*100,SQRT(B44*$Z$2*(1-$Z$2)),SQRT($Z$2/B44),SQRT(B44*$Z$2)))</f>
        <v/>
      </c>
      <c r="G44">
        <f>IF(OR(Yeterlilik!$B51="",Yeterlilik!$C51=""),NA(),E44+3*F44)</f>
        <v/>
      </c>
      <c r="H44">
        <f>IF(OR(Yeterlilik!$B51="",Yeterlilik!$C51=""),NA(),MAX(0,E44-3*F44))</f>
        <v/>
      </c>
      <c r="I44">
        <f>IF(OR(Yeterlilik!$B51="",Yeterlilik!$C51=""),NA(),SUM(Yeterlilik!$C$9:$C51)/SUM(Yeterlilik!$B$9:$B51)*IF($Z$3,100,1))</f>
        <v/>
      </c>
      <c r="J44">
        <f>IF(OR(Yeterlilik!$B51="",Yeterlilik!$C51=""),NA(),$Z$2*IF($Z$3,100,1))</f>
        <v/>
      </c>
      <c r="K44">
        <f>IF(OR(Yeterlilik!$B51="",Yeterlilik!$C51=""),NA(),C44/B44*IF($Z$3,100,1))</f>
        <v/>
      </c>
    </row>
    <row r="45">
      <c r="A45">
        <f>IF(OR(Yeterlilik!$B52="",Yeterlilik!$C52=""),NA(),44)</f>
        <v/>
      </c>
      <c r="B45">
        <f>IF(OR(Yeterlilik!$B52="",Yeterlilik!$C52=""),NA(),Yeterlilik!$B52)</f>
        <v/>
      </c>
      <c r="C45">
        <f>IF(OR(Yeterlilik!$B52="",Yeterlilik!$C52=""),NA(),Yeterlilik!$C52)</f>
        <v/>
      </c>
      <c r="D45">
        <f>IF(OR(Yeterlilik!$B52="",Yeterlilik!$C52=""),NA(),CHOOSE($Z$1,C45/B45*100,C45,C45/B45,C45))</f>
        <v/>
      </c>
      <c r="E45">
        <f>IF(OR(Yeterlilik!$B52="",Yeterlilik!$C52=""),NA(),CHOOSE($Z$1,$Z$2*100,B45*$Z$2,$Z$2,B45*$Z$2))</f>
        <v/>
      </c>
      <c r="F45">
        <f>IF(OR(Yeterlilik!$B52="",Yeterlilik!$C52=""),NA(),CHOOSE($Z$1,SQRT($Z$2*(1-$Z$2)/B45)*100,SQRT(B45*$Z$2*(1-$Z$2)),SQRT($Z$2/B45),SQRT(B45*$Z$2)))</f>
        <v/>
      </c>
      <c r="G45">
        <f>IF(OR(Yeterlilik!$B52="",Yeterlilik!$C52=""),NA(),E45+3*F45)</f>
        <v/>
      </c>
      <c r="H45">
        <f>IF(OR(Yeterlilik!$B52="",Yeterlilik!$C52=""),NA(),MAX(0,E45-3*F45))</f>
        <v/>
      </c>
      <c r="I45">
        <f>IF(OR(Yeterlilik!$B52="",Yeterlilik!$C52=""),NA(),SUM(Yeterlilik!$C$9:$C52)/SUM(Yeterlilik!$B$9:$B52)*IF($Z$3,100,1))</f>
        <v/>
      </c>
      <c r="J45">
        <f>IF(OR(Yeterlilik!$B52="",Yeterlilik!$C52=""),NA(),$Z$2*IF($Z$3,100,1))</f>
        <v/>
      </c>
      <c r="K45">
        <f>IF(OR(Yeterlilik!$B52="",Yeterlilik!$C52=""),NA(),C45/B45*IF($Z$3,100,1))</f>
        <v/>
      </c>
    </row>
    <row r="46">
      <c r="A46">
        <f>IF(OR(Yeterlilik!$B53="",Yeterlilik!$C53=""),NA(),45)</f>
        <v/>
      </c>
      <c r="B46">
        <f>IF(OR(Yeterlilik!$B53="",Yeterlilik!$C53=""),NA(),Yeterlilik!$B53)</f>
        <v/>
      </c>
      <c r="C46">
        <f>IF(OR(Yeterlilik!$B53="",Yeterlilik!$C53=""),NA(),Yeterlilik!$C53)</f>
        <v/>
      </c>
      <c r="D46">
        <f>IF(OR(Yeterlilik!$B53="",Yeterlilik!$C53=""),NA(),CHOOSE($Z$1,C46/B46*100,C46,C46/B46,C46))</f>
        <v/>
      </c>
      <c r="E46">
        <f>IF(OR(Yeterlilik!$B53="",Yeterlilik!$C53=""),NA(),CHOOSE($Z$1,$Z$2*100,B46*$Z$2,$Z$2,B46*$Z$2))</f>
        <v/>
      </c>
      <c r="F46">
        <f>IF(OR(Yeterlilik!$B53="",Yeterlilik!$C53=""),NA(),CHOOSE($Z$1,SQRT($Z$2*(1-$Z$2)/B46)*100,SQRT(B46*$Z$2*(1-$Z$2)),SQRT($Z$2/B46),SQRT(B46*$Z$2)))</f>
        <v/>
      </c>
      <c r="G46">
        <f>IF(OR(Yeterlilik!$B53="",Yeterlilik!$C53=""),NA(),E46+3*F46)</f>
        <v/>
      </c>
      <c r="H46">
        <f>IF(OR(Yeterlilik!$B53="",Yeterlilik!$C53=""),NA(),MAX(0,E46-3*F46))</f>
        <v/>
      </c>
      <c r="I46">
        <f>IF(OR(Yeterlilik!$B53="",Yeterlilik!$C53=""),NA(),SUM(Yeterlilik!$C$9:$C53)/SUM(Yeterlilik!$B$9:$B53)*IF($Z$3,100,1))</f>
        <v/>
      </c>
      <c r="J46">
        <f>IF(OR(Yeterlilik!$B53="",Yeterlilik!$C53=""),NA(),$Z$2*IF($Z$3,100,1))</f>
        <v/>
      </c>
      <c r="K46">
        <f>IF(OR(Yeterlilik!$B53="",Yeterlilik!$C53=""),NA(),C46/B46*IF($Z$3,100,1))</f>
        <v/>
      </c>
    </row>
    <row r="47">
      <c r="A47">
        <f>IF(OR(Yeterlilik!$B54="",Yeterlilik!$C54=""),NA(),46)</f>
        <v/>
      </c>
      <c r="B47">
        <f>IF(OR(Yeterlilik!$B54="",Yeterlilik!$C54=""),NA(),Yeterlilik!$B54)</f>
        <v/>
      </c>
      <c r="C47">
        <f>IF(OR(Yeterlilik!$B54="",Yeterlilik!$C54=""),NA(),Yeterlilik!$C54)</f>
        <v/>
      </c>
      <c r="D47">
        <f>IF(OR(Yeterlilik!$B54="",Yeterlilik!$C54=""),NA(),CHOOSE($Z$1,C47/B47*100,C47,C47/B47,C47))</f>
        <v/>
      </c>
      <c r="E47">
        <f>IF(OR(Yeterlilik!$B54="",Yeterlilik!$C54=""),NA(),CHOOSE($Z$1,$Z$2*100,B47*$Z$2,$Z$2,B47*$Z$2))</f>
        <v/>
      </c>
      <c r="F47">
        <f>IF(OR(Yeterlilik!$B54="",Yeterlilik!$C54=""),NA(),CHOOSE($Z$1,SQRT($Z$2*(1-$Z$2)/B47)*100,SQRT(B47*$Z$2*(1-$Z$2)),SQRT($Z$2/B47),SQRT(B47*$Z$2)))</f>
        <v/>
      </c>
      <c r="G47">
        <f>IF(OR(Yeterlilik!$B54="",Yeterlilik!$C54=""),NA(),E47+3*F47)</f>
        <v/>
      </c>
      <c r="H47">
        <f>IF(OR(Yeterlilik!$B54="",Yeterlilik!$C54=""),NA(),MAX(0,E47-3*F47))</f>
        <v/>
      </c>
      <c r="I47">
        <f>IF(OR(Yeterlilik!$B54="",Yeterlilik!$C54=""),NA(),SUM(Yeterlilik!$C$9:$C54)/SUM(Yeterlilik!$B$9:$B54)*IF($Z$3,100,1))</f>
        <v/>
      </c>
      <c r="J47">
        <f>IF(OR(Yeterlilik!$B54="",Yeterlilik!$C54=""),NA(),$Z$2*IF($Z$3,100,1))</f>
        <v/>
      </c>
      <c r="K47">
        <f>IF(OR(Yeterlilik!$B54="",Yeterlilik!$C54=""),NA(),C47/B47*IF($Z$3,100,1))</f>
        <v/>
      </c>
    </row>
    <row r="48">
      <c r="A48">
        <f>IF(OR(Yeterlilik!$B55="",Yeterlilik!$C55=""),NA(),47)</f>
        <v/>
      </c>
      <c r="B48">
        <f>IF(OR(Yeterlilik!$B55="",Yeterlilik!$C55=""),NA(),Yeterlilik!$B55)</f>
        <v/>
      </c>
      <c r="C48">
        <f>IF(OR(Yeterlilik!$B55="",Yeterlilik!$C55=""),NA(),Yeterlilik!$C55)</f>
        <v/>
      </c>
      <c r="D48">
        <f>IF(OR(Yeterlilik!$B55="",Yeterlilik!$C55=""),NA(),CHOOSE($Z$1,C48/B48*100,C48,C48/B48,C48))</f>
        <v/>
      </c>
      <c r="E48">
        <f>IF(OR(Yeterlilik!$B55="",Yeterlilik!$C55=""),NA(),CHOOSE($Z$1,$Z$2*100,B48*$Z$2,$Z$2,B48*$Z$2))</f>
        <v/>
      </c>
      <c r="F48">
        <f>IF(OR(Yeterlilik!$B55="",Yeterlilik!$C55=""),NA(),CHOOSE($Z$1,SQRT($Z$2*(1-$Z$2)/B48)*100,SQRT(B48*$Z$2*(1-$Z$2)),SQRT($Z$2/B48),SQRT(B48*$Z$2)))</f>
        <v/>
      </c>
      <c r="G48">
        <f>IF(OR(Yeterlilik!$B55="",Yeterlilik!$C55=""),NA(),E48+3*F48)</f>
        <v/>
      </c>
      <c r="H48">
        <f>IF(OR(Yeterlilik!$B55="",Yeterlilik!$C55=""),NA(),MAX(0,E48-3*F48))</f>
        <v/>
      </c>
      <c r="I48">
        <f>IF(OR(Yeterlilik!$B55="",Yeterlilik!$C55=""),NA(),SUM(Yeterlilik!$C$9:$C55)/SUM(Yeterlilik!$B$9:$B55)*IF($Z$3,100,1))</f>
        <v/>
      </c>
      <c r="J48">
        <f>IF(OR(Yeterlilik!$B55="",Yeterlilik!$C55=""),NA(),$Z$2*IF($Z$3,100,1))</f>
        <v/>
      </c>
      <c r="K48">
        <f>IF(OR(Yeterlilik!$B55="",Yeterlilik!$C55=""),NA(),C48/B48*IF($Z$3,100,1))</f>
        <v/>
      </c>
    </row>
    <row r="49">
      <c r="A49">
        <f>IF(OR(Yeterlilik!$B56="",Yeterlilik!$C56=""),NA(),48)</f>
        <v/>
      </c>
      <c r="B49">
        <f>IF(OR(Yeterlilik!$B56="",Yeterlilik!$C56=""),NA(),Yeterlilik!$B56)</f>
        <v/>
      </c>
      <c r="C49">
        <f>IF(OR(Yeterlilik!$B56="",Yeterlilik!$C56=""),NA(),Yeterlilik!$C56)</f>
        <v/>
      </c>
      <c r="D49">
        <f>IF(OR(Yeterlilik!$B56="",Yeterlilik!$C56=""),NA(),CHOOSE($Z$1,C49/B49*100,C49,C49/B49,C49))</f>
        <v/>
      </c>
      <c r="E49">
        <f>IF(OR(Yeterlilik!$B56="",Yeterlilik!$C56=""),NA(),CHOOSE($Z$1,$Z$2*100,B49*$Z$2,$Z$2,B49*$Z$2))</f>
        <v/>
      </c>
      <c r="F49">
        <f>IF(OR(Yeterlilik!$B56="",Yeterlilik!$C56=""),NA(),CHOOSE($Z$1,SQRT($Z$2*(1-$Z$2)/B49)*100,SQRT(B49*$Z$2*(1-$Z$2)),SQRT($Z$2/B49),SQRT(B49*$Z$2)))</f>
        <v/>
      </c>
      <c r="G49">
        <f>IF(OR(Yeterlilik!$B56="",Yeterlilik!$C56=""),NA(),E49+3*F49)</f>
        <v/>
      </c>
      <c r="H49">
        <f>IF(OR(Yeterlilik!$B56="",Yeterlilik!$C56=""),NA(),MAX(0,E49-3*F49))</f>
        <v/>
      </c>
      <c r="I49">
        <f>IF(OR(Yeterlilik!$B56="",Yeterlilik!$C56=""),NA(),SUM(Yeterlilik!$C$9:$C56)/SUM(Yeterlilik!$B$9:$B56)*IF($Z$3,100,1))</f>
        <v/>
      </c>
      <c r="J49">
        <f>IF(OR(Yeterlilik!$B56="",Yeterlilik!$C56=""),NA(),$Z$2*IF($Z$3,100,1))</f>
        <v/>
      </c>
      <c r="K49">
        <f>IF(OR(Yeterlilik!$B56="",Yeterlilik!$C56=""),NA(),C49/B49*IF($Z$3,100,1))</f>
        <v/>
      </c>
    </row>
    <row r="50">
      <c r="A50">
        <f>IF(OR(Yeterlilik!$B57="",Yeterlilik!$C57=""),NA(),49)</f>
        <v/>
      </c>
      <c r="B50">
        <f>IF(OR(Yeterlilik!$B57="",Yeterlilik!$C57=""),NA(),Yeterlilik!$B57)</f>
        <v/>
      </c>
      <c r="C50">
        <f>IF(OR(Yeterlilik!$B57="",Yeterlilik!$C57=""),NA(),Yeterlilik!$C57)</f>
        <v/>
      </c>
      <c r="D50">
        <f>IF(OR(Yeterlilik!$B57="",Yeterlilik!$C57=""),NA(),CHOOSE($Z$1,C50/B50*100,C50,C50/B50,C50))</f>
        <v/>
      </c>
      <c r="E50">
        <f>IF(OR(Yeterlilik!$B57="",Yeterlilik!$C57=""),NA(),CHOOSE($Z$1,$Z$2*100,B50*$Z$2,$Z$2,B50*$Z$2))</f>
        <v/>
      </c>
      <c r="F50">
        <f>IF(OR(Yeterlilik!$B57="",Yeterlilik!$C57=""),NA(),CHOOSE($Z$1,SQRT($Z$2*(1-$Z$2)/B50)*100,SQRT(B50*$Z$2*(1-$Z$2)),SQRT($Z$2/B50),SQRT(B50*$Z$2)))</f>
        <v/>
      </c>
      <c r="G50">
        <f>IF(OR(Yeterlilik!$B57="",Yeterlilik!$C57=""),NA(),E50+3*F50)</f>
        <v/>
      </c>
      <c r="H50">
        <f>IF(OR(Yeterlilik!$B57="",Yeterlilik!$C57=""),NA(),MAX(0,E50-3*F50))</f>
        <v/>
      </c>
      <c r="I50">
        <f>IF(OR(Yeterlilik!$B57="",Yeterlilik!$C57=""),NA(),SUM(Yeterlilik!$C$9:$C57)/SUM(Yeterlilik!$B$9:$B57)*IF($Z$3,100,1))</f>
        <v/>
      </c>
      <c r="J50">
        <f>IF(OR(Yeterlilik!$B57="",Yeterlilik!$C57=""),NA(),$Z$2*IF($Z$3,100,1))</f>
        <v/>
      </c>
      <c r="K50">
        <f>IF(OR(Yeterlilik!$B57="",Yeterlilik!$C57=""),NA(),C50/B50*IF($Z$3,100,1))</f>
        <v/>
      </c>
    </row>
    <row r="51">
      <c r="A51">
        <f>IF(OR(Yeterlilik!$B58="",Yeterlilik!$C58=""),NA(),50)</f>
        <v/>
      </c>
      <c r="B51">
        <f>IF(OR(Yeterlilik!$B58="",Yeterlilik!$C58=""),NA(),Yeterlilik!$B58)</f>
        <v/>
      </c>
      <c r="C51">
        <f>IF(OR(Yeterlilik!$B58="",Yeterlilik!$C58=""),NA(),Yeterlilik!$C58)</f>
        <v/>
      </c>
      <c r="D51">
        <f>IF(OR(Yeterlilik!$B58="",Yeterlilik!$C58=""),NA(),CHOOSE($Z$1,C51/B51*100,C51,C51/B51,C51))</f>
        <v/>
      </c>
      <c r="E51">
        <f>IF(OR(Yeterlilik!$B58="",Yeterlilik!$C58=""),NA(),CHOOSE($Z$1,$Z$2*100,B51*$Z$2,$Z$2,B51*$Z$2))</f>
        <v/>
      </c>
      <c r="F51">
        <f>IF(OR(Yeterlilik!$B58="",Yeterlilik!$C58=""),NA(),CHOOSE($Z$1,SQRT($Z$2*(1-$Z$2)/B51)*100,SQRT(B51*$Z$2*(1-$Z$2)),SQRT($Z$2/B51),SQRT(B51*$Z$2)))</f>
        <v/>
      </c>
      <c r="G51">
        <f>IF(OR(Yeterlilik!$B58="",Yeterlilik!$C58=""),NA(),E51+3*F51)</f>
        <v/>
      </c>
      <c r="H51">
        <f>IF(OR(Yeterlilik!$B58="",Yeterlilik!$C58=""),NA(),MAX(0,E51-3*F51))</f>
        <v/>
      </c>
      <c r="I51">
        <f>IF(OR(Yeterlilik!$B58="",Yeterlilik!$C58=""),NA(),SUM(Yeterlilik!$C$9:$C58)/SUM(Yeterlilik!$B$9:$B58)*IF($Z$3,100,1))</f>
        <v/>
      </c>
      <c r="J51">
        <f>IF(OR(Yeterlilik!$B58="",Yeterlilik!$C58=""),NA(),$Z$2*IF($Z$3,100,1))</f>
        <v/>
      </c>
      <c r="K51">
        <f>IF(OR(Yeterlilik!$B58="",Yeterlilik!$C58=""),NA(),C51/B51*IF($Z$3,100,1))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ERP</dc:creator>
  <dcterms:created xmlns:dcterms="http://purl.org/dc/terms/" xmlns:xsi="http://www.w3.org/2001/XMLSchema-instance" xsi:type="dcterms:W3CDTF">2026-10-11T18:30:43Z</dcterms:created>
  <dcterms:modified xmlns:dcterms="http://purl.org/dc/terms/" xmlns:xsi="http://www.w3.org/2001/XMLSchema-instance" xsi:type="dcterms:W3CDTF">2026-10-11T18:30:44Z</dcterms:modified>
  <cp:lastModifiedBy>ERP</cp:lastModifiedBy>
</cp:coreProperties>
</file>